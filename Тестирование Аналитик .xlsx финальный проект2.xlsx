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Gulnur\Desktop\"/>
    </mc:Choice>
  </mc:AlternateContent>
  <xr:revisionPtr revIDLastSave="0" documentId="8_{924BF043-22CC-4CDF-B3DD-37ADB8EBE42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  <sheet name="сводная таблица" sheetId="5" r:id="rId3"/>
    <sheet name="Assignment_Data" sheetId="4" r:id="rId4"/>
  </sheets>
  <definedNames>
    <definedName name="ExternalData_1" localSheetId="3" hidden="1">Assignment_Data!$A$1:$E$505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H2" i="4" l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112DB1-74BA-4292-B3C9-186CE099CDE7}" keepAlive="1" name="Запрос — Таблица1" description="Соединение с запросом &quot;Таблица1&quot; в книге." type="5" refreshedVersion="6" background="1">
    <dbPr connection="Provider=Microsoft.Mashup.OleDb.1;Data Source=$Workbook$;Location=Таблица1;Extended Properties=&quot;&quot;" command="SELECT * FROM [Таблица1]"/>
  </connection>
  <connection id="2" xr16:uid="{CB915CE2-69AD-497D-9763-BF4B4164072D}" keepAlive="1" name="Запрос — Таблица2" description="Соединение с запросом &quot;Таблица2&quot; в книге." type="5" refreshedVersion="6" background="1" saveData="1">
    <dbPr connection="Provider=Microsoft.Mashup.OleDb.1;Data Source=$Workbook$;Location=Таблица2;Extended Properties=&quot;&quot;" command="SELECT * FROM [Таблица2]"/>
  </connection>
</connections>
</file>

<file path=xl/sharedStrings.xml><?xml version="1.0" encoding="utf-8"?>
<sst xmlns="http://schemas.openxmlformats.org/spreadsheetml/2006/main" count="1559" uniqueCount="33">
  <si>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</si>
  <si>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</si>
  <si>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</si>
  <si>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</si>
  <si>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</si>
  <si>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</si>
  <si>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</si>
  <si>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</si>
  <si>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</si>
  <si>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</si>
  <si>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</si>
  <si>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</si>
  <si>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</si>
  <si>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</si>
  <si>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</si>
  <si>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</si>
  <si>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</si>
  <si>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</si>
  <si>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</si>
  <si>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</si>
  <si>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</si>
  <si>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</si>
  <si>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</si>
  <si>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</si>
  <si>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</si>
  <si>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</si>
  <si>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</si>
  <si>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Ключ</t>
  </si>
  <si>
    <t>Названия строк</t>
  </si>
  <si>
    <t>Общий итог</t>
  </si>
  <si>
    <t>Сумма по полю Товарооборот, руб</t>
  </si>
  <si>
    <t>Сумма по полю Товарооборот на склад</t>
  </si>
  <si>
    <t>Сумма по полю Товарооборот, руб2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</si>
</sst>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 style="thin">
        <color rgb="FF8EAADB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2" fillId="0" borderId="0" xfId="0" applyFont="1" applyAlignment="1">
      <alignment vertical="center" wrapText="1"/>
    </xf>
    <xf numFmtId="0" fontId="2" fillId="3" borderId="1" xfId="0" applyFont="1" applyFill="1" applyBorder="1"/>
    <xf numFmtId="0" fontId="3" fillId="0" borderId="0" xfId="0" applyFont="1"/>
    <xf numFmtId="0" fontId="2" fillId="0" borderId="2" xfId="0" applyFont="1" applyBorder="1"/>
    <xf numFmtId="0" fontId="2" fillId="0" borderId="3" xfId="0" applyFont="1" applyBorder="1"/>
    <xf numFmtId="164" fontId="2" fillId="0" borderId="0" xfId="0" applyNumberFormat="1" applyFont="1"/>
    <xf numFmtId="164" fontId="2" fillId="3" borderId="2" xfId="0" applyNumberFormat="1" applyFont="1" applyFill="1" applyBorder="1"/>
    <xf numFmtId="164" fontId="2" fillId="0" borderId="2" xfId="0" applyNumberFormat="1" applyFont="1" applyBorder="1"/>
    <xf numFmtId="164" fontId="2" fillId="0" borderId="3" xfId="0" applyNumberFormat="1" applyFont="1" applyBorder="1"/>
    <xf numFmtId="0" fontId="1" fillId="2" borderId="0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22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Font="1" applyAlignment="1">
      <alignment wrapText="1"/>
    </xf>
    <xf numFmtId="0" fontId="2" fillId="0" borderId="0" xfId="0" applyFont="1" applyAlignment="1"/>
    <xf numFmtId="0" fontId="4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10" fontId="0" fillId="0" borderId="0" xfId="0" applyNumberFormat="1" applyFont="1" applyAlignment="1"/>
  </cellXfs>
  <cellStyles count="1">
    <cellStyle name="Обычный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:mm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border outline="0"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rgb="FF8EAA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>
        <left/>
        <right/>
        <top style="thin">
          <color rgb="FF8EAADB"/>
        </top>
        <bottom/>
        <vertical/>
        <horizontal/>
      </border>
    </dxf>
    <dxf>
      <border outline="0">
        <left style="thin">
          <color rgb="FF8EAADB"/>
        </left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[Тестирование Аналитик .xlsx финальный проект2.xlsx]сводная таблица!Сводная таблица1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Понедельная</a:t>
            </a:r>
            <a:r>
              <a:rPr lang="ru-RU" baseline="0"/>
              <a:t> динамика товарооборота</a:t>
            </a:r>
          </a:p>
          <a:p>
            <a:pPr>
              <a:defRPr/>
            </a:pPr>
            <a:endParaRPr lang="ru-RU"/>
          </a:p>
        </c:rich>
      </c:tx>
      <c:layout>
        <c:manualLayout>
          <c:xMode val="edge"/>
          <c:yMode val="edge"/>
          <c:x val="0.15620122484689414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'сводная таблица'!$B$3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'сводная таблица'!$A$4:$A$28</c:f>
              <c:multiLvlStrCache>
                <c:ptCount val="18"/>
                <c:lvl>
                  <c:pt idx="0">
                    <c:v>Москва Запад</c:v>
                  </c:pt>
                  <c:pt idx="1">
                    <c:v>Санкт-Петербург Север</c:v>
                  </c:pt>
                  <c:pt idx="2">
                    <c:v>Санкт-Петербург Юг</c:v>
                  </c:pt>
                  <c:pt idx="3">
                    <c:v>Москва Запад</c:v>
                  </c:pt>
                  <c:pt idx="4">
                    <c:v>Санкт-Петербург Север</c:v>
                  </c:pt>
                  <c:pt idx="5">
                    <c:v>Санкт-Петербург Юг</c:v>
                  </c:pt>
                  <c:pt idx="6">
                    <c:v>Москва Запад</c:v>
                  </c:pt>
                  <c:pt idx="7">
                    <c:v>Санкт-Петербург Север</c:v>
                  </c:pt>
                  <c:pt idx="8">
                    <c:v>Санкт-Петербург Юг</c:v>
                  </c:pt>
                  <c:pt idx="9">
                    <c:v>Москва Запад</c:v>
                  </c:pt>
                  <c:pt idx="10">
                    <c:v>Санкт-Петербург Север</c:v>
                  </c:pt>
                  <c:pt idx="11">
                    <c:v>Санкт-Петербург Юг</c:v>
                  </c:pt>
                  <c:pt idx="12">
                    <c:v>Москва Запад</c:v>
                  </c:pt>
                  <c:pt idx="13">
                    <c:v>Санкт-Петербург Север</c:v>
                  </c:pt>
                  <c:pt idx="14">
                    <c:v>Санкт-Петербург Юг</c:v>
                  </c:pt>
                  <c:pt idx="15">
                    <c:v>Москва Запад</c:v>
                  </c:pt>
                  <c:pt idx="16">
                    <c:v>Санкт-Петербург Север</c:v>
                  </c:pt>
                  <c:pt idx="17">
                    <c:v>Санкт-Петербург Юг</c:v>
                  </c:pt>
                </c:lvl>
                <c:lvl>
                  <c:pt idx="0">
                    <c:v>18</c:v>
                  </c:pt>
                  <c:pt idx="3">
                    <c:v>19</c:v>
                  </c:pt>
                  <c:pt idx="6">
                    <c:v>20</c:v>
                  </c:pt>
                  <c:pt idx="9">
                    <c:v>21</c:v>
                  </c:pt>
                  <c:pt idx="12">
                    <c:v>22</c:v>
                  </c:pt>
                  <c:pt idx="15">
                    <c:v>23</c:v>
                  </c:pt>
                </c:lvl>
              </c:multiLvlStrCache>
            </c:multiLvlStrRef>
          </c:cat>
          <c:val>
            <c:numRef>
              <c:f>'сводная таблица'!$B$4:$B$28</c:f>
              <c:numCache>
                <c:formatCode>General</c:formatCode>
                <c:ptCount val="18"/>
                <c:pt idx="0">
                  <c:v>136791225</c:v>
                </c:pt>
                <c:pt idx="1">
                  <c:v>233059077</c:v>
                </c:pt>
                <c:pt idx="2">
                  <c:v>176269533</c:v>
                </c:pt>
                <c:pt idx="3">
                  <c:v>159695760</c:v>
                </c:pt>
                <c:pt idx="4">
                  <c:v>272762503.5</c:v>
                </c:pt>
                <c:pt idx="5">
                  <c:v>208128393.85664999</c:v>
                </c:pt>
                <c:pt idx="6">
                  <c:v>142825023</c:v>
                </c:pt>
                <c:pt idx="7">
                  <c:v>269949999</c:v>
                </c:pt>
                <c:pt idx="8">
                  <c:v>199569624.22395</c:v>
                </c:pt>
                <c:pt idx="9">
                  <c:v>157512358.5</c:v>
                </c:pt>
                <c:pt idx="10">
                  <c:v>275539431.56999999</c:v>
                </c:pt>
                <c:pt idx="11">
                  <c:v>204608809.47659999</c:v>
                </c:pt>
                <c:pt idx="12">
                  <c:v>157857214.5</c:v>
                </c:pt>
                <c:pt idx="13">
                  <c:v>292155049.5</c:v>
                </c:pt>
                <c:pt idx="14">
                  <c:v>219265928.75384998</c:v>
                </c:pt>
                <c:pt idx="15">
                  <c:v>19465372.5</c:v>
                </c:pt>
                <c:pt idx="16">
                  <c:v>37257840.18135</c:v>
                </c:pt>
                <c:pt idx="17">
                  <c:v>27770092.5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7-4D71-B58A-2E05AB2DE9AE}"/>
            </c:ext>
          </c:extLst>
        </c:ser>
        <c:ser>
          <c:idx val="1"/>
          <c:order val="1"/>
          <c:tx>
            <c:strRef>
              <c:f>'сводная таблица'!$C$3</c:f>
              <c:strCache>
                <c:ptCount val="1"/>
                <c:pt idx="0">
                  <c:v>Сумма по полю Товарооборот на склад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'сводная таблица'!$A$4:$A$28</c:f>
              <c:multiLvlStrCache>
                <c:ptCount val="18"/>
                <c:lvl>
                  <c:pt idx="0">
                    <c:v>Москва Запад</c:v>
                  </c:pt>
                  <c:pt idx="1">
                    <c:v>Санкт-Петербург Север</c:v>
                  </c:pt>
                  <c:pt idx="2">
                    <c:v>Санкт-Петербург Юг</c:v>
                  </c:pt>
                  <c:pt idx="3">
                    <c:v>Москва Запад</c:v>
                  </c:pt>
                  <c:pt idx="4">
                    <c:v>Санкт-Петербург Север</c:v>
                  </c:pt>
                  <c:pt idx="5">
                    <c:v>Санкт-Петербург Юг</c:v>
                  </c:pt>
                  <c:pt idx="6">
                    <c:v>Москва Запад</c:v>
                  </c:pt>
                  <c:pt idx="7">
                    <c:v>Санкт-Петербург Север</c:v>
                  </c:pt>
                  <c:pt idx="8">
                    <c:v>Санкт-Петербург Юг</c:v>
                  </c:pt>
                  <c:pt idx="9">
                    <c:v>Москва Запад</c:v>
                  </c:pt>
                  <c:pt idx="10">
                    <c:v>Санкт-Петербург Север</c:v>
                  </c:pt>
                  <c:pt idx="11">
                    <c:v>Санкт-Петербург Юг</c:v>
                  </c:pt>
                  <c:pt idx="12">
                    <c:v>Москва Запад</c:v>
                  </c:pt>
                  <c:pt idx="13">
                    <c:v>Санкт-Петербург Север</c:v>
                  </c:pt>
                  <c:pt idx="14">
                    <c:v>Санкт-Петербург Юг</c:v>
                  </c:pt>
                  <c:pt idx="15">
                    <c:v>Москва Запад</c:v>
                  </c:pt>
                  <c:pt idx="16">
                    <c:v>Санкт-Петербург Север</c:v>
                  </c:pt>
                  <c:pt idx="17">
                    <c:v>Санкт-Петербург Юг</c:v>
                  </c:pt>
                </c:lvl>
                <c:lvl>
                  <c:pt idx="0">
                    <c:v>18</c:v>
                  </c:pt>
                  <c:pt idx="3">
                    <c:v>19</c:v>
                  </c:pt>
                  <c:pt idx="6">
                    <c:v>20</c:v>
                  </c:pt>
                  <c:pt idx="9">
                    <c:v>21</c:v>
                  </c:pt>
                  <c:pt idx="12">
                    <c:v>22</c:v>
                  </c:pt>
                  <c:pt idx="15">
                    <c:v>23</c:v>
                  </c:pt>
                </c:lvl>
              </c:multiLvlStrCache>
            </c:multiLvlStrRef>
          </c:cat>
          <c:val>
            <c:numRef>
              <c:f>'сводная таблица'!$C$4:$C$28</c:f>
              <c:numCache>
                <c:formatCode>General</c:formatCode>
                <c:ptCount val="18"/>
                <c:pt idx="0">
                  <c:v>2318495.338983051</c:v>
                </c:pt>
                <c:pt idx="1">
                  <c:v>1864472.6159999999</c:v>
                </c:pt>
                <c:pt idx="2">
                  <c:v>1370065.9244186047</c:v>
                </c:pt>
                <c:pt idx="3">
                  <c:v>2706707.7966101696</c:v>
                </c:pt>
                <c:pt idx="4">
                  <c:v>2182100.0279999999</c:v>
                </c:pt>
                <c:pt idx="5">
                  <c:v>1613398.401989535</c:v>
                </c:pt>
                <c:pt idx="6">
                  <c:v>2380417.0500000003</c:v>
                </c:pt>
                <c:pt idx="7">
                  <c:v>2159599.9920000001</c:v>
                </c:pt>
                <c:pt idx="8">
                  <c:v>1547051.3505732559</c:v>
                </c:pt>
                <c:pt idx="9">
                  <c:v>2625205.9750000001</c:v>
                </c:pt>
                <c:pt idx="10">
                  <c:v>2204315.4525600001</c:v>
                </c:pt>
                <c:pt idx="11">
                  <c:v>1586114.8021441861</c:v>
                </c:pt>
                <c:pt idx="12">
                  <c:v>2669744.9538135594</c:v>
                </c:pt>
                <c:pt idx="13">
                  <c:v>2356089.1088709678</c:v>
                </c:pt>
                <c:pt idx="14">
                  <c:v>1699735.8818127906</c:v>
                </c:pt>
                <c:pt idx="15">
                  <c:v>329921.56779661018</c:v>
                </c:pt>
                <c:pt idx="16">
                  <c:v>302909.26976707316</c:v>
                </c:pt>
                <c:pt idx="17">
                  <c:v>216953.84765625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C7-4D71-B58A-2E05AB2DE9AE}"/>
            </c:ext>
          </c:extLst>
        </c:ser>
        <c:ser>
          <c:idx val="2"/>
          <c:order val="2"/>
          <c:tx>
            <c:strRef>
              <c:f>'сводная таблица'!$D$3</c:f>
              <c:strCache>
                <c:ptCount val="1"/>
                <c:pt idx="0">
                  <c:v>Сумма по полю Товарооборот, руб2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'сводная таблица'!$A$4:$A$28</c:f>
              <c:multiLvlStrCache>
                <c:ptCount val="18"/>
                <c:lvl>
                  <c:pt idx="0">
                    <c:v>Москва Запад</c:v>
                  </c:pt>
                  <c:pt idx="1">
                    <c:v>Санкт-Петербург Север</c:v>
                  </c:pt>
                  <c:pt idx="2">
                    <c:v>Санкт-Петербург Юг</c:v>
                  </c:pt>
                  <c:pt idx="3">
                    <c:v>Москва Запад</c:v>
                  </c:pt>
                  <c:pt idx="4">
                    <c:v>Санкт-Петербург Север</c:v>
                  </c:pt>
                  <c:pt idx="5">
                    <c:v>Санкт-Петербург Юг</c:v>
                  </c:pt>
                  <c:pt idx="6">
                    <c:v>Москва Запад</c:v>
                  </c:pt>
                  <c:pt idx="7">
                    <c:v>Санкт-Петербург Север</c:v>
                  </c:pt>
                  <c:pt idx="8">
                    <c:v>Санкт-Петербург Юг</c:v>
                  </c:pt>
                  <c:pt idx="9">
                    <c:v>Москва Запад</c:v>
                  </c:pt>
                  <c:pt idx="10">
                    <c:v>Санкт-Петербург Север</c:v>
                  </c:pt>
                  <c:pt idx="11">
                    <c:v>Санкт-Петербург Юг</c:v>
                  </c:pt>
                  <c:pt idx="12">
                    <c:v>Москва Запад</c:v>
                  </c:pt>
                  <c:pt idx="13">
                    <c:v>Санкт-Петербург Север</c:v>
                  </c:pt>
                  <c:pt idx="14">
                    <c:v>Санкт-Петербург Юг</c:v>
                  </c:pt>
                  <c:pt idx="15">
                    <c:v>Москва Запад</c:v>
                  </c:pt>
                  <c:pt idx="16">
                    <c:v>Санкт-Петербург Север</c:v>
                  </c:pt>
                  <c:pt idx="17">
                    <c:v>Санкт-Петербург Юг</c:v>
                  </c:pt>
                </c:lvl>
                <c:lvl>
                  <c:pt idx="0">
                    <c:v>18</c:v>
                  </c:pt>
                  <c:pt idx="3">
                    <c:v>19</c:v>
                  </c:pt>
                  <c:pt idx="6">
                    <c:v>20</c:v>
                  </c:pt>
                  <c:pt idx="9">
                    <c:v>21</c:v>
                  </c:pt>
                  <c:pt idx="12">
                    <c:v>22</c:v>
                  </c:pt>
                  <c:pt idx="15">
                    <c:v>23</c:v>
                  </c:pt>
                </c:lvl>
              </c:multiLvlStrCache>
            </c:multiLvlStrRef>
          </c:cat>
          <c:val>
            <c:numRef>
              <c:f>'сводная таблица'!$D$4:$D$28</c:f>
              <c:numCache>
                <c:formatCode>0.00%</c:formatCode>
                <c:ptCount val="18"/>
                <c:pt idx="0">
                  <c:v>4.2874766886041901E-2</c:v>
                </c:pt>
                <c:pt idx="1">
                  <c:v>7.3048206104237234E-2</c:v>
                </c:pt>
                <c:pt idx="2">
                  <c:v>5.5248537590671255E-2</c:v>
                </c:pt>
                <c:pt idx="3">
                  <c:v>5.0053784390696805E-2</c:v>
                </c:pt>
                <c:pt idx="4">
                  <c:v>8.54925361828998E-2</c:v>
                </c:pt>
                <c:pt idx="5">
                  <c:v>6.5234128643633274E-2</c:v>
                </c:pt>
                <c:pt idx="6">
                  <c:v>4.4765953127611606E-2</c:v>
                </c:pt>
                <c:pt idx="7">
                  <c:v>8.461100686840288E-2</c:v>
                </c:pt>
                <c:pt idx="8">
                  <c:v>6.2551535130538058E-2</c:v>
                </c:pt>
                <c:pt idx="9">
                  <c:v>4.9369436178074731E-2</c:v>
                </c:pt>
                <c:pt idx="10">
                  <c:v>8.6362914700677931E-2</c:v>
                </c:pt>
                <c:pt idx="11">
                  <c:v>6.4130977766591282E-2</c:v>
                </c:pt>
                <c:pt idx="12">
                  <c:v>4.9477525133409785E-2</c:v>
                </c:pt>
                <c:pt idx="13">
                  <c:v>9.1570783446763726E-2</c:v>
                </c:pt>
                <c:pt idx="14">
                  <c:v>6.8724990081584475E-2</c:v>
                </c:pt>
                <c:pt idx="15">
                  <c:v>6.1010734298743985E-3</c:v>
                </c:pt>
                <c:pt idx="16">
                  <c:v>1.1677804716295115E-2</c:v>
                </c:pt>
                <c:pt idx="17">
                  <c:v>8.7040396219956392E-3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C7-4D71-B58A-2E05AB2DE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179860240"/>
        <c:axId val="798683216"/>
      </c:barChart>
      <c:catAx>
        <c:axId val="11798602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98683216"/>
        <c:crosses val="autoZero"/>
        <c:auto val="1"/>
        <c:lblAlgn val="ctr"/>
        <c:lblOffset val="100"/>
        <c:noMultiLvlLbl val="0"/>
      </c:catAx>
      <c:valAx>
        <c:axId val="79868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986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361950</xdr:colOff>
      <xdr:row>2</xdr:row>
      <xdr:rowOff>61912</xdr:rowOff>
    </xdr:from>
    <xdr:to>
      <xdr:col>11</xdr:col>
      <xdr:colOff>323850</xdr:colOff>
      <xdr:row>16</xdr:row>
      <xdr:rowOff>138112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EDA1244-672E-41F8-8502-7F72E20F2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lnur" refreshedDate="46027.661938888887" createdVersion="6" refreshedVersion="6" minRefreshableVersion="3" recordCount="504" xr:uid="{1A9551B6-AABD-4003-881A-C495867BF1D8}">
  <cacheSource type="worksheet">
    <worksheetSource name="Таблица2_2"/>
  </cacheSource>
  <cacheFields count="9">
    <cacheField name="Дата" numFmtId="22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Санкт-Петербург Север"/>
        <s v="Санкт-Петербург Юг"/>
        <s v="Тольятти"/>
        <s v="Ростов-на-Дону"/>
        <s v="Тюмень"/>
        <s v="Самара"/>
        <s v="Томск"/>
        <s v="Уфа"/>
      </sharedItems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, руб" numFmtId="0">
      <sharedItems containsSemiMixedTypes="0" containsString="0" containsNumber="1" minValue="389013" maxValue="54172029"/>
    </cacheField>
    <cacheField name="Неделя" numFmtId="0">
      <sharedItems containsSemiMixedTypes="0" containsString="0" containsNumber="1" containsInteger="1" minValue="18" maxValue="23" count="6">
        <n v="18"/>
        <n v="19"/>
        <n v="20"/>
        <n v="21"/>
        <n v="22"/>
        <n v="23"/>
      </sharedItems>
    </cacheField>
    <cacheField name="Товарооборот на склад" numFmtId="0">
      <sharedItems containsSemiMixedTypes="0" containsString="0" containsNumber="1" minValue="26979.4" maxValue="496419"/>
    </cacheField>
    <cacheField name="Клю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4-28T00:00:00"/>
    <x v="0"/>
    <n v="36"/>
    <n v="4923"/>
    <n v="4560"/>
    <n v="6288246"/>
    <x v="0"/>
    <n v="174673.5"/>
    <s v="43949Волгоград"/>
  </r>
  <r>
    <d v="2020-04-28T00:00:00"/>
    <x v="1"/>
    <n v="31"/>
    <n v="5465"/>
    <n v="5096"/>
    <n v="7163644.5"/>
    <x v="0"/>
    <n v="231085.30645161291"/>
    <s v="43949Екатеринбург"/>
  </r>
  <r>
    <d v="2020-04-28T00:00:00"/>
    <x v="2"/>
    <n v="19"/>
    <n v="1846"/>
    <n v="1681"/>
    <n v="2863600.5"/>
    <x v="0"/>
    <n v="150715.81578947368"/>
    <s v="43949Казань"/>
  </r>
  <r>
    <d v="2020-04-28T00:00:00"/>
    <x v="3"/>
    <n v="18"/>
    <n v="1539"/>
    <n v="1404"/>
    <n v="2411587.5"/>
    <x v="0"/>
    <n v="133977.08333333334"/>
    <s v="43949Кемерово"/>
  </r>
  <r>
    <d v="2020-04-28T00:00:00"/>
    <x v="4"/>
    <n v="18"/>
    <n v="1505"/>
    <n v="1368"/>
    <n v="2277072"/>
    <x v="0"/>
    <n v="126504"/>
    <s v="43949Краснодар"/>
  </r>
  <r>
    <d v="2020-04-28T00:00:00"/>
    <x v="5"/>
    <n v="54"/>
    <n v="12306"/>
    <n v="11532"/>
    <n v="20003263.5"/>
    <x v="0"/>
    <n v="370430.80555555556"/>
    <s v="43949Москва Восток"/>
  </r>
  <r>
    <d v="2020-04-28T00:00:00"/>
    <x v="6"/>
    <n v="59"/>
    <n v="12943"/>
    <n v="12072"/>
    <n v="21114898.5"/>
    <x v="0"/>
    <n v="357879.63559322036"/>
    <s v="43949Москва Запад"/>
  </r>
  <r>
    <d v="2020-04-28T00:00:00"/>
    <x v="7"/>
    <n v="17"/>
    <n v="1439"/>
    <n v="1265"/>
    <n v="2136817.5"/>
    <x v="0"/>
    <n v="125695.14705882352"/>
    <s v="43949Нижний Новгород"/>
  </r>
  <r>
    <d v="2020-04-28T00:00:00"/>
    <x v="8"/>
    <n v="15"/>
    <n v="636"/>
    <n v="547"/>
    <n v="992541"/>
    <x v="0"/>
    <n v="66169.399999999994"/>
    <s v="43949Новосибирск"/>
  </r>
  <r>
    <d v="2020-04-28T00:00:00"/>
    <x v="9"/>
    <n v="15"/>
    <n v="780"/>
    <n v="690"/>
    <n v="1102887"/>
    <x v="0"/>
    <n v="73525.8"/>
    <s v="43949Пермь"/>
  </r>
  <r>
    <d v="2020-04-28T00:00:00"/>
    <x v="10"/>
    <n v="125"/>
    <n v="20914"/>
    <n v="19479"/>
    <n v="39918028.5"/>
    <x v="0"/>
    <n v="319344.228"/>
    <s v="43949Санкт-Петербург Север"/>
  </r>
  <r>
    <d v="2020-04-28T00:00:00"/>
    <x v="11"/>
    <n v="128"/>
    <n v="16450"/>
    <n v="15320"/>
    <n v="29159032.5"/>
    <x v="0"/>
    <n v="227804.94140625"/>
    <s v="43949Санкт-Петербург Юг"/>
  </r>
  <r>
    <d v="2020-04-28T00:00:00"/>
    <x v="12"/>
    <n v="10"/>
    <n v="580"/>
    <n v="506"/>
    <n v="869983.5"/>
    <x v="0"/>
    <n v="86998.35"/>
    <s v="43949Тольятти"/>
  </r>
  <r>
    <d v="2020-04-29T00:00:00"/>
    <x v="0"/>
    <n v="36"/>
    <n v="4937"/>
    <n v="4561"/>
    <n v="6454458"/>
    <x v="0"/>
    <n v="179290.5"/>
    <s v="43950Волгоград"/>
  </r>
  <r>
    <d v="2020-04-29T00:00:00"/>
    <x v="1"/>
    <n v="31"/>
    <n v="5378"/>
    <n v="4985"/>
    <n v="7180498.5"/>
    <x v="0"/>
    <n v="231628.98387096773"/>
    <s v="43950Екатеринбург"/>
  </r>
  <r>
    <d v="2020-04-29T00:00:00"/>
    <x v="2"/>
    <n v="19"/>
    <n v="1676"/>
    <n v="1516"/>
    <n v="2627595"/>
    <x v="0"/>
    <n v="138294.47368421053"/>
    <s v="43950Казань"/>
  </r>
  <r>
    <d v="2020-04-29T00:00:00"/>
    <x v="3"/>
    <n v="18"/>
    <n v="1684"/>
    <n v="1528"/>
    <n v="2623480.5"/>
    <x v="0"/>
    <n v="145748.91666666666"/>
    <s v="43950Кемерово"/>
  </r>
  <r>
    <d v="2020-04-29T00:00:00"/>
    <x v="4"/>
    <n v="18"/>
    <n v="1599"/>
    <n v="1450"/>
    <n v="2360914.5"/>
    <x v="0"/>
    <n v="131161.91666666666"/>
    <s v="43950Краснодар"/>
  </r>
  <r>
    <d v="2020-04-29T00:00:00"/>
    <x v="5"/>
    <n v="54"/>
    <n v="12747"/>
    <n v="11884"/>
    <n v="20871391.5"/>
    <x v="0"/>
    <n v="386507.25"/>
    <s v="43950Москва Восток"/>
  </r>
  <r>
    <d v="2020-04-29T00:00:00"/>
    <x v="6"/>
    <n v="59"/>
    <n v="13186"/>
    <n v="12251"/>
    <n v="21615333"/>
    <x v="0"/>
    <n v="366361.57627118647"/>
    <s v="43950Москва Запад"/>
  </r>
  <r>
    <d v="2020-04-29T00:00:00"/>
    <x v="7"/>
    <n v="18"/>
    <n v="1534"/>
    <n v="1369"/>
    <n v="2397588"/>
    <x v="0"/>
    <n v="133199.33333333334"/>
    <s v="43950Нижний Новгород"/>
  </r>
  <r>
    <d v="2020-04-29T00:00:00"/>
    <x v="8"/>
    <n v="15"/>
    <n v="659"/>
    <n v="575"/>
    <n v="981519"/>
    <x v="0"/>
    <n v="65434.6"/>
    <s v="43950Новосибирск"/>
  </r>
  <r>
    <d v="2020-04-29T00:00:00"/>
    <x v="9"/>
    <n v="15"/>
    <n v="786"/>
    <n v="695"/>
    <n v="1115992.5"/>
    <x v="0"/>
    <n v="74399.5"/>
    <s v="43950Пермь"/>
  </r>
  <r>
    <d v="2020-04-29T00:00:00"/>
    <x v="10"/>
    <n v="125"/>
    <n v="21863"/>
    <n v="20160"/>
    <n v="41559384"/>
    <x v="0"/>
    <n v="332475.07199999999"/>
    <s v="43950Санкт-Петербург Север"/>
  </r>
  <r>
    <d v="2020-04-29T00:00:00"/>
    <x v="11"/>
    <n v="128"/>
    <n v="17368"/>
    <n v="16077"/>
    <n v="30869287.5"/>
    <x v="0"/>
    <n v="241166.30859375"/>
    <s v="43950Санкт-Петербург Юг"/>
  </r>
  <r>
    <d v="2020-04-29T00:00:00"/>
    <x v="12"/>
    <n v="10"/>
    <n v="502"/>
    <n v="433"/>
    <n v="797919"/>
    <x v="0"/>
    <n v="79791.899999999994"/>
    <s v="43950Тольятти"/>
  </r>
  <r>
    <d v="2020-04-30T00:00:00"/>
    <x v="0"/>
    <n v="36"/>
    <n v="5143"/>
    <n v="4715"/>
    <n v="6819594"/>
    <x v="0"/>
    <n v="189433.16666666666"/>
    <s v="43951Волгоград"/>
  </r>
  <r>
    <d v="2020-04-30T00:00:00"/>
    <x v="1"/>
    <n v="31"/>
    <n v="5120"/>
    <n v="4737"/>
    <n v="7023727.5"/>
    <x v="0"/>
    <n v="226571.85483870967"/>
    <s v="43951Екатеринбург"/>
  </r>
  <r>
    <d v="2020-04-30T00:00:00"/>
    <x v="2"/>
    <n v="20"/>
    <n v="1756"/>
    <n v="1586"/>
    <n v="2853310.5"/>
    <x v="0"/>
    <n v="142665.52499999999"/>
    <s v="43951Казань"/>
  </r>
  <r>
    <d v="2020-04-30T00:00:00"/>
    <x v="3"/>
    <n v="19"/>
    <n v="1712"/>
    <n v="1552"/>
    <n v="2817196.5"/>
    <x v="0"/>
    <n v="148273.5"/>
    <s v="43951Кемерово"/>
  </r>
  <r>
    <d v="2020-04-30T00:00:00"/>
    <x v="4"/>
    <n v="19"/>
    <n v="1662"/>
    <n v="1506"/>
    <n v="2560080"/>
    <x v="0"/>
    <n v="134741.05263157896"/>
    <s v="43951Краснодар"/>
  </r>
  <r>
    <d v="2020-04-30T00:00:00"/>
    <x v="5"/>
    <n v="54"/>
    <n v="12817"/>
    <n v="11865"/>
    <n v="21740460"/>
    <x v="0"/>
    <n v="402601.11111111112"/>
    <s v="43951Москва Восток"/>
  </r>
  <r>
    <d v="2020-04-30T00:00:00"/>
    <x v="6"/>
    <n v="59"/>
    <n v="13251"/>
    <n v="12255"/>
    <n v="22530000"/>
    <x v="0"/>
    <n v="381864.40677966102"/>
    <s v="43951Москва Запад"/>
  </r>
  <r>
    <d v="2020-04-30T00:00:00"/>
    <x v="7"/>
    <n v="19"/>
    <n v="1499"/>
    <n v="1322"/>
    <n v="2267664"/>
    <x v="0"/>
    <n v="119350.73684210527"/>
    <s v="43951Нижний Новгород"/>
  </r>
  <r>
    <d v="2020-04-30T00:00:00"/>
    <x v="8"/>
    <n v="15"/>
    <n v="644"/>
    <n v="550"/>
    <n v="1004511"/>
    <x v="0"/>
    <n v="66967.399999999994"/>
    <s v="43951Новосибирск"/>
  </r>
  <r>
    <d v="2020-04-30T00:00:00"/>
    <x v="9"/>
    <n v="15"/>
    <n v="791"/>
    <n v="691"/>
    <n v="1103068.5"/>
    <x v="0"/>
    <n v="73537.899999999994"/>
    <s v="43951Пермь"/>
  </r>
  <r>
    <d v="2020-04-30T00:00:00"/>
    <x v="13"/>
    <n v="15"/>
    <n v="262"/>
    <n v="195"/>
    <n v="404691"/>
    <x v="0"/>
    <n v="26979.4"/>
    <s v="43951Ростов-на-Дону"/>
  </r>
  <r>
    <d v="2020-04-30T00:00:00"/>
    <x v="10"/>
    <n v="125"/>
    <n v="22368"/>
    <n v="20625"/>
    <n v="43028734.5"/>
    <x v="0"/>
    <n v="344229.87599999999"/>
    <s v="43951Санкт-Петербург Север"/>
  </r>
  <r>
    <d v="2020-04-30T00:00:00"/>
    <x v="11"/>
    <n v="129"/>
    <n v="18042"/>
    <n v="16631"/>
    <n v="32418879"/>
    <x v="0"/>
    <n v="251309.13953488372"/>
    <s v="43951Санкт-Петербург Юг"/>
  </r>
  <r>
    <d v="2020-04-30T00:00:00"/>
    <x v="12"/>
    <n v="10"/>
    <n v="448"/>
    <n v="376"/>
    <n v="716196"/>
    <x v="0"/>
    <n v="71619.600000000006"/>
    <s v="43951Тольятти"/>
  </r>
  <r>
    <d v="2020-05-01T00:00:00"/>
    <x v="0"/>
    <n v="36"/>
    <n v="5457"/>
    <n v="4916"/>
    <n v="7032225"/>
    <x v="0"/>
    <n v="195339.58333333334"/>
    <s v="43952Волгоград"/>
  </r>
  <r>
    <d v="2020-05-01T00:00:00"/>
    <x v="1"/>
    <n v="31"/>
    <n v="6118"/>
    <n v="5564"/>
    <n v="8893024.5"/>
    <x v="0"/>
    <n v="286871.75806451612"/>
    <s v="43952Екатеринбург"/>
  </r>
  <r>
    <d v="2020-05-01T00:00:00"/>
    <x v="2"/>
    <n v="20"/>
    <n v="2468"/>
    <n v="2221"/>
    <n v="4293241.5"/>
    <x v="0"/>
    <n v="214662.07500000001"/>
    <s v="43952Казань"/>
  </r>
  <r>
    <d v="2020-05-01T00:00:00"/>
    <x v="3"/>
    <n v="18"/>
    <n v="1826"/>
    <n v="1633"/>
    <n v="3031254"/>
    <x v="0"/>
    <n v="168403"/>
    <s v="43952Кемерово"/>
  </r>
  <r>
    <d v="2020-05-01T00:00:00"/>
    <x v="4"/>
    <n v="19"/>
    <n v="1987"/>
    <n v="1791"/>
    <n v="3168510"/>
    <x v="0"/>
    <n v="166763.68421052632"/>
    <s v="43952Краснодар"/>
  </r>
  <r>
    <d v="2020-05-01T00:00:00"/>
    <x v="5"/>
    <n v="54"/>
    <n v="14205"/>
    <n v="13026"/>
    <n v="23953536"/>
    <x v="0"/>
    <n v="443584"/>
    <s v="43952Москва Восток"/>
  </r>
  <r>
    <d v="2020-05-01T00:00:00"/>
    <x v="6"/>
    <n v="59"/>
    <n v="15222"/>
    <n v="13873"/>
    <n v="25413351"/>
    <x v="0"/>
    <n v="430734.76271186443"/>
    <s v="43952Москва Запад"/>
  </r>
  <r>
    <d v="2020-05-01T00:00:00"/>
    <x v="7"/>
    <n v="19"/>
    <n v="1497"/>
    <n v="1291"/>
    <n v="2374356"/>
    <x v="0"/>
    <n v="124966.10526315789"/>
    <s v="43952Нижний Новгород"/>
  </r>
  <r>
    <d v="2020-05-01T00:00:00"/>
    <x v="8"/>
    <n v="15"/>
    <n v="721"/>
    <n v="625"/>
    <n v="1134444"/>
    <x v="0"/>
    <n v="75629.600000000006"/>
    <s v="43952Новосибирск"/>
  </r>
  <r>
    <d v="2020-05-01T00:00:00"/>
    <x v="9"/>
    <n v="15"/>
    <n v="996"/>
    <n v="888"/>
    <n v="1465842"/>
    <x v="0"/>
    <n v="97722.8"/>
    <s v="43952Пермь"/>
  </r>
  <r>
    <d v="2020-05-01T00:00:00"/>
    <x v="13"/>
    <n v="15"/>
    <n v="294"/>
    <n v="225"/>
    <n v="505572"/>
    <x v="0"/>
    <n v="33704.800000000003"/>
    <s v="43952Ростов-на-Дону"/>
  </r>
  <r>
    <d v="2020-05-01T00:00:00"/>
    <x v="10"/>
    <n v="125"/>
    <n v="20602"/>
    <n v="18845"/>
    <n v="40077193.5"/>
    <x v="0"/>
    <n v="320617.54800000001"/>
    <s v="43952Санкт-Петербург Север"/>
  </r>
  <r>
    <d v="2020-05-01T00:00:00"/>
    <x v="11"/>
    <n v="129"/>
    <n v="17002"/>
    <n v="15570"/>
    <n v="31053316.5"/>
    <x v="0"/>
    <n v="240723.38372093023"/>
    <s v="43952Санкт-Петербург Юг"/>
  </r>
  <r>
    <d v="2020-05-01T00:00:00"/>
    <x v="12"/>
    <n v="10"/>
    <n v="554"/>
    <n v="472"/>
    <n v="891139.5"/>
    <x v="0"/>
    <n v="89113.95"/>
    <s v="43952Тольятти"/>
  </r>
  <r>
    <d v="2020-05-02T00:00:00"/>
    <x v="0"/>
    <n v="36"/>
    <n v="3442"/>
    <n v="3147"/>
    <n v="4118251.5"/>
    <x v="0"/>
    <n v="114395.875"/>
    <s v="43953Волгоград"/>
  </r>
  <r>
    <d v="2020-05-02T00:00:00"/>
    <x v="1"/>
    <n v="31"/>
    <n v="4157"/>
    <n v="3823"/>
    <n v="5554192.5"/>
    <x v="0"/>
    <n v="179167.5"/>
    <s v="43953Екатеринбург"/>
  </r>
  <r>
    <d v="2020-05-02T00:00:00"/>
    <x v="2"/>
    <n v="20"/>
    <n v="1613"/>
    <n v="1457"/>
    <n v="2470465.5"/>
    <x v="0"/>
    <n v="123523.27499999999"/>
    <s v="43953Казань"/>
  </r>
  <r>
    <d v="2020-05-02T00:00:00"/>
    <x v="3"/>
    <n v="18"/>
    <n v="1708"/>
    <n v="1534"/>
    <n v="2711247"/>
    <x v="0"/>
    <n v="150624.83333333334"/>
    <s v="43953Кемерово"/>
  </r>
  <r>
    <d v="2020-05-02T00:00:00"/>
    <x v="4"/>
    <n v="19"/>
    <n v="1206"/>
    <n v="1080"/>
    <n v="1682851.5"/>
    <x v="0"/>
    <n v="88571.131578947374"/>
    <s v="43953Краснодар"/>
  </r>
  <r>
    <d v="2020-05-02T00:00:00"/>
    <x v="5"/>
    <n v="54"/>
    <n v="11622"/>
    <n v="10754"/>
    <n v="18625921.5"/>
    <x v="0"/>
    <n v="344924.47222222225"/>
    <s v="43953Москва Восток"/>
  </r>
  <r>
    <d v="2020-05-02T00:00:00"/>
    <x v="6"/>
    <n v="59"/>
    <n v="12429"/>
    <n v="11477"/>
    <n v="19625364"/>
    <x v="0"/>
    <n v="332633.28813559323"/>
    <s v="43953Москва Запад"/>
  </r>
  <r>
    <d v="2020-05-02T00:00:00"/>
    <x v="7"/>
    <n v="19"/>
    <n v="1217"/>
    <n v="1048"/>
    <n v="1799230.5"/>
    <x v="0"/>
    <n v="94696.34210526316"/>
    <s v="43953Нижний Новгород"/>
  </r>
  <r>
    <d v="2020-05-02T00:00:00"/>
    <x v="8"/>
    <n v="15"/>
    <n v="567"/>
    <n v="493"/>
    <n v="816859.5"/>
    <x v="0"/>
    <n v="54457.3"/>
    <s v="43953Новосибирск"/>
  </r>
  <r>
    <d v="2020-05-02T00:00:00"/>
    <x v="9"/>
    <n v="15"/>
    <n v="751"/>
    <n v="651"/>
    <n v="1053220.5"/>
    <x v="0"/>
    <n v="70214.7"/>
    <s v="43953Пермь"/>
  </r>
  <r>
    <d v="2020-05-02T00:00:00"/>
    <x v="13"/>
    <n v="15"/>
    <n v="274"/>
    <n v="203"/>
    <n v="433243.5"/>
    <x v="0"/>
    <n v="28882.9"/>
    <s v="43953Ростов-на-Дону"/>
  </r>
  <r>
    <d v="2020-05-02T00:00:00"/>
    <x v="10"/>
    <n v="125"/>
    <n v="16932"/>
    <n v="15601"/>
    <n v="31843737"/>
    <x v="0"/>
    <n v="254749.89600000001"/>
    <s v="43953Санкт-Петербург Север"/>
  </r>
  <r>
    <d v="2020-05-02T00:00:00"/>
    <x v="11"/>
    <n v="129"/>
    <n v="14009"/>
    <n v="12920"/>
    <n v="24342016.5"/>
    <x v="0"/>
    <n v="188697.8023255814"/>
    <s v="43953Санкт-Петербург Юг"/>
  </r>
  <r>
    <d v="2020-05-02T00:00:00"/>
    <x v="12"/>
    <n v="10"/>
    <n v="416"/>
    <n v="341"/>
    <n v="617881.5"/>
    <x v="0"/>
    <n v="61788.15"/>
    <s v="43953Тольятти"/>
  </r>
  <r>
    <d v="2020-05-03T00:00:00"/>
    <x v="0"/>
    <n v="36"/>
    <n v="4751"/>
    <n v="4370"/>
    <n v="6221320.5"/>
    <x v="0"/>
    <n v="172814.45833333334"/>
    <s v="43954Волгоград"/>
  </r>
  <r>
    <d v="2020-05-03T00:00:00"/>
    <x v="1"/>
    <n v="31"/>
    <n v="5155"/>
    <n v="4762"/>
    <n v="7013670"/>
    <x v="0"/>
    <n v="226247.4193548387"/>
    <s v="43954Екатеринбург"/>
  </r>
  <r>
    <d v="2020-05-03T00:00:00"/>
    <x v="2"/>
    <n v="20"/>
    <n v="1716"/>
    <n v="1561"/>
    <n v="2720002.5"/>
    <x v="0"/>
    <n v="136000.125"/>
    <s v="43954Казань"/>
  </r>
  <r>
    <d v="2020-05-03T00:00:00"/>
    <x v="3"/>
    <n v="20"/>
    <n v="1520"/>
    <n v="1373"/>
    <n v="2434914"/>
    <x v="0"/>
    <n v="121745.7"/>
    <s v="43954Кемерово"/>
  </r>
  <r>
    <d v="2020-05-03T00:00:00"/>
    <x v="4"/>
    <n v="19"/>
    <n v="1314"/>
    <n v="1192"/>
    <n v="1906557"/>
    <x v="0"/>
    <n v="100345.10526315789"/>
    <s v="43954Краснодар"/>
  </r>
  <r>
    <d v="2020-05-03T00:00:00"/>
    <x v="5"/>
    <n v="54"/>
    <n v="14823"/>
    <n v="13751"/>
    <n v="25519072.5"/>
    <x v="0"/>
    <n v="472575.41666666669"/>
    <s v="43954Москва Восток"/>
  </r>
  <r>
    <d v="2020-05-03T00:00:00"/>
    <x v="6"/>
    <n v="59"/>
    <n v="15277"/>
    <n v="14163"/>
    <n v="26492278.5"/>
    <x v="0"/>
    <n v="449021.66949152545"/>
    <s v="43954Москва Запад"/>
  </r>
  <r>
    <d v="2020-05-03T00:00:00"/>
    <x v="7"/>
    <n v="19"/>
    <n v="1402"/>
    <n v="1234"/>
    <n v="2170309.5"/>
    <x v="0"/>
    <n v="114226.81578947368"/>
    <s v="43954Нижний Новгород"/>
  </r>
  <r>
    <d v="2020-05-03T00:00:00"/>
    <x v="8"/>
    <n v="15"/>
    <n v="585"/>
    <n v="502"/>
    <n v="816150"/>
    <x v="0"/>
    <n v="54410"/>
    <s v="43954Новосибирск"/>
  </r>
  <r>
    <d v="2020-05-03T00:00:00"/>
    <x v="9"/>
    <n v="15"/>
    <n v="784"/>
    <n v="696"/>
    <n v="1120009.5"/>
    <x v="0"/>
    <n v="74667.3"/>
    <s v="43954Пермь"/>
  </r>
  <r>
    <d v="2020-05-03T00:00:00"/>
    <x v="13"/>
    <n v="15"/>
    <n v="455"/>
    <n v="384"/>
    <n v="665302.5"/>
    <x v="0"/>
    <n v="44353.5"/>
    <s v="43954Ростов-на-Дону"/>
  </r>
  <r>
    <d v="2020-05-03T00:00:00"/>
    <x v="10"/>
    <n v="125"/>
    <n v="18861"/>
    <n v="17420"/>
    <n v="36631999.5"/>
    <x v="0"/>
    <n v="293055.99599999998"/>
    <s v="43954Санкт-Петербург Север"/>
  </r>
  <r>
    <d v="2020-05-03T00:00:00"/>
    <x v="11"/>
    <n v="129"/>
    <n v="15778"/>
    <n v="14624"/>
    <n v="28427001"/>
    <x v="0"/>
    <n v="220364.34883720931"/>
    <s v="43954Санкт-Петербург Юг"/>
  </r>
  <r>
    <d v="2020-05-03T00:00:00"/>
    <x v="12"/>
    <n v="10"/>
    <n v="402"/>
    <n v="333"/>
    <n v="637881"/>
    <x v="0"/>
    <n v="63788.1"/>
    <s v="43954Тольятти"/>
  </r>
  <r>
    <d v="2020-05-04T00:00:00"/>
    <x v="0"/>
    <n v="36"/>
    <n v="4508"/>
    <n v="4149"/>
    <n v="5561452.5"/>
    <x v="1"/>
    <n v="154484.79166666666"/>
    <s v="43955Волгоград"/>
  </r>
  <r>
    <d v="2020-05-04T00:00:00"/>
    <x v="1"/>
    <n v="31"/>
    <n v="4968"/>
    <n v="4596"/>
    <n v="6642249"/>
    <x v="1"/>
    <n v="214266.09677419355"/>
    <s v="43955Екатеринбург"/>
  </r>
  <r>
    <d v="2020-05-04T00:00:00"/>
    <x v="2"/>
    <n v="20"/>
    <n v="1804"/>
    <n v="1638"/>
    <n v="2817853.5"/>
    <x v="1"/>
    <n v="140892.67499999999"/>
    <s v="43955Казань"/>
  </r>
  <r>
    <d v="2020-05-04T00:00:00"/>
    <x v="3"/>
    <n v="20"/>
    <n v="1519"/>
    <n v="1372"/>
    <n v="2372310"/>
    <x v="1"/>
    <n v="118615.5"/>
    <s v="43955Кемерово"/>
  </r>
  <r>
    <d v="2020-05-04T00:00:00"/>
    <x v="4"/>
    <n v="19"/>
    <n v="1479"/>
    <n v="1346"/>
    <n v="2155668"/>
    <x v="1"/>
    <n v="113456.21052631579"/>
    <s v="43955Краснодар"/>
  </r>
  <r>
    <d v="2020-05-04T00:00:00"/>
    <x v="5"/>
    <n v="54"/>
    <n v="13606"/>
    <n v="12697"/>
    <n v="22796827.5"/>
    <x v="1"/>
    <n v="422163.47222222225"/>
    <s v="43955Москва Восток"/>
  </r>
  <r>
    <d v="2020-05-04T00:00:00"/>
    <x v="6"/>
    <n v="59"/>
    <n v="14423"/>
    <n v="13432"/>
    <n v="24292218"/>
    <x v="1"/>
    <n v="411732.50847457629"/>
    <s v="43955Москва Запад"/>
  </r>
  <r>
    <d v="2020-05-04T00:00:00"/>
    <x v="7"/>
    <n v="19"/>
    <n v="1582"/>
    <n v="1403"/>
    <n v="2450968.5"/>
    <x v="1"/>
    <n v="128998.34210526316"/>
    <s v="43955Нижний Новгород"/>
  </r>
  <r>
    <d v="2020-05-04T00:00:00"/>
    <x v="8"/>
    <n v="15"/>
    <n v="622"/>
    <n v="538"/>
    <n v="906343.5"/>
    <x v="1"/>
    <n v="60422.9"/>
    <s v="43955Новосибирск"/>
  </r>
  <r>
    <d v="2020-05-04T00:00:00"/>
    <x v="9"/>
    <n v="15"/>
    <n v="750"/>
    <n v="647"/>
    <n v="1085211"/>
    <x v="1"/>
    <n v="72347.399999999994"/>
    <s v="43955Пермь"/>
  </r>
  <r>
    <d v="2020-05-04T00:00:00"/>
    <x v="13"/>
    <n v="15"/>
    <n v="390"/>
    <n v="315"/>
    <n v="610855.5"/>
    <x v="1"/>
    <n v="40723.699999999997"/>
    <s v="43955Ростов-на-Дону"/>
  </r>
  <r>
    <d v="2020-05-04T00:00:00"/>
    <x v="10"/>
    <n v="125"/>
    <n v="20495"/>
    <n v="18964"/>
    <n v="38406954"/>
    <x v="1"/>
    <n v="307255.63199999998"/>
    <s v="43955Санкт-Петербург Север"/>
  </r>
  <r>
    <d v="2020-05-04T00:00:00"/>
    <x v="11"/>
    <n v="129"/>
    <n v="16525"/>
    <n v="15310"/>
    <n v="29357940"/>
    <x v="1"/>
    <n v="227580.93023255814"/>
    <s v="43955Санкт-Петербург Юг"/>
  </r>
  <r>
    <d v="2020-05-04T00:00:00"/>
    <x v="12"/>
    <n v="10"/>
    <n v="462"/>
    <n v="396"/>
    <n v="728890.5"/>
    <x v="1"/>
    <n v="72889.05"/>
    <s v="43955Тольятти"/>
  </r>
  <r>
    <d v="2020-05-05T00:00:00"/>
    <x v="0"/>
    <n v="36"/>
    <n v="4575"/>
    <n v="4206"/>
    <n v="5770539"/>
    <x v="1"/>
    <n v="160292.75"/>
    <s v="43956Волгоград"/>
  </r>
  <r>
    <d v="2020-05-05T00:00:00"/>
    <x v="1"/>
    <n v="31"/>
    <n v="5188"/>
    <n v="4800"/>
    <n v="6921316.5"/>
    <x v="1"/>
    <n v="223268.27419354839"/>
    <s v="43956Екатеринбург"/>
  </r>
  <r>
    <d v="2020-05-05T00:00:00"/>
    <x v="2"/>
    <n v="20"/>
    <n v="1757"/>
    <n v="1596"/>
    <n v="2648688"/>
    <x v="1"/>
    <n v="132434.4"/>
    <s v="43956Казань"/>
  </r>
  <r>
    <d v="2020-05-05T00:00:00"/>
    <x v="3"/>
    <n v="20"/>
    <n v="1773"/>
    <n v="1604"/>
    <n v="2906763"/>
    <x v="1"/>
    <n v="145338.15"/>
    <s v="43956Кемерово"/>
  </r>
  <r>
    <d v="2020-05-05T00:00:00"/>
    <x v="4"/>
    <n v="19"/>
    <n v="1622"/>
    <n v="1482"/>
    <n v="2380333.5"/>
    <x v="1"/>
    <n v="125280.71052631579"/>
    <s v="43956Краснодар"/>
  </r>
  <r>
    <d v="2020-05-05T00:00:00"/>
    <x v="5"/>
    <n v="54"/>
    <n v="12775"/>
    <n v="11887"/>
    <n v="20880142.5"/>
    <x v="1"/>
    <n v="386669.30555555556"/>
    <s v="43956Москва Восток"/>
  </r>
  <r>
    <d v="2020-05-05T00:00:00"/>
    <x v="6"/>
    <n v="59"/>
    <n v="13469"/>
    <n v="12486"/>
    <n v="21919435.5"/>
    <x v="1"/>
    <n v="371515.85593220341"/>
    <s v="43956Москва Запад"/>
  </r>
  <r>
    <d v="2020-05-05T00:00:00"/>
    <x v="7"/>
    <n v="19"/>
    <n v="1417"/>
    <n v="1245"/>
    <n v="2079900"/>
    <x v="1"/>
    <n v="109468.42105263157"/>
    <s v="43956Нижний Новгород"/>
  </r>
  <r>
    <d v="2020-05-05T00:00:00"/>
    <x v="8"/>
    <n v="15"/>
    <n v="750"/>
    <n v="658"/>
    <n v="1145575.5"/>
    <x v="1"/>
    <n v="76371.7"/>
    <s v="43956Новосибирск"/>
  </r>
  <r>
    <d v="2020-05-05T00:00:00"/>
    <x v="9"/>
    <n v="15"/>
    <n v="922"/>
    <n v="823"/>
    <n v="1384179"/>
    <x v="1"/>
    <n v="92278.6"/>
    <s v="43956Пермь"/>
  </r>
  <r>
    <d v="2020-05-05T00:00:00"/>
    <x v="13"/>
    <n v="15"/>
    <n v="455"/>
    <n v="381"/>
    <n v="694593"/>
    <x v="1"/>
    <n v="46306.2"/>
    <s v="43956Ростов-на-Дону"/>
  </r>
  <r>
    <d v="2020-05-05T00:00:00"/>
    <x v="10"/>
    <n v="125"/>
    <n v="18944"/>
    <n v="17541"/>
    <n v="35671734"/>
    <x v="1"/>
    <n v="285373.87199999997"/>
    <s v="43956Санкт-Петербург Север"/>
  </r>
  <r>
    <d v="2020-05-05T00:00:00"/>
    <x v="11"/>
    <n v="129"/>
    <n v="15665"/>
    <n v="14501"/>
    <n v="27278441.145"/>
    <x v="1"/>
    <n v="211460.78406976743"/>
    <s v="43956Санкт-Петербург Юг"/>
  </r>
  <r>
    <d v="2020-05-05T00:00:00"/>
    <x v="12"/>
    <n v="10"/>
    <n v="511"/>
    <n v="437"/>
    <n v="793320"/>
    <x v="1"/>
    <n v="79332"/>
    <s v="43956Тольятти"/>
  </r>
  <r>
    <d v="2020-05-06T00:00:00"/>
    <x v="0"/>
    <n v="36"/>
    <n v="4384"/>
    <n v="4025"/>
    <n v="5454121.5"/>
    <x v="1"/>
    <n v="151503.375"/>
    <s v="43957Волгоград"/>
  </r>
  <r>
    <d v="2020-05-06T00:00:00"/>
    <x v="1"/>
    <n v="31"/>
    <n v="4709"/>
    <n v="4348"/>
    <n v="6168657"/>
    <x v="1"/>
    <n v="198988.93548387097"/>
    <s v="43957Екатеринбург"/>
  </r>
  <r>
    <d v="2020-05-06T00:00:00"/>
    <x v="2"/>
    <n v="20"/>
    <n v="1747"/>
    <n v="1570"/>
    <n v="2738127"/>
    <x v="1"/>
    <n v="136906.35"/>
    <s v="43957Казань"/>
  </r>
  <r>
    <d v="2020-05-06T00:00:00"/>
    <x v="3"/>
    <n v="20"/>
    <n v="1784"/>
    <n v="1632"/>
    <n v="2938623"/>
    <x v="1"/>
    <n v="146931.15"/>
    <s v="43957Кемерово"/>
  </r>
  <r>
    <d v="2020-05-06T00:00:00"/>
    <x v="4"/>
    <n v="19"/>
    <n v="1509"/>
    <n v="1374"/>
    <n v="2159350.5"/>
    <x v="1"/>
    <n v="113650.02631578948"/>
    <s v="43957Краснодар"/>
  </r>
  <r>
    <d v="2020-05-06T00:00:00"/>
    <x v="5"/>
    <n v="54"/>
    <n v="13406"/>
    <n v="12518"/>
    <n v="22126444.5"/>
    <x v="1"/>
    <n v="409748.97222222225"/>
    <s v="43957Москва Восток"/>
  </r>
  <r>
    <d v="2020-05-06T00:00:00"/>
    <x v="6"/>
    <n v="59"/>
    <n v="14103"/>
    <n v="13118"/>
    <n v="23032992"/>
    <x v="1"/>
    <n v="390389.69491525425"/>
    <s v="43957Москва Запад"/>
  </r>
  <r>
    <d v="2020-05-06T00:00:00"/>
    <x v="7"/>
    <n v="19"/>
    <n v="1499"/>
    <n v="1323"/>
    <n v="2232519"/>
    <x v="1"/>
    <n v="117501"/>
    <s v="43957Нижний Новгород"/>
  </r>
  <r>
    <d v="2020-05-06T00:00:00"/>
    <x v="8"/>
    <n v="15"/>
    <n v="701"/>
    <n v="611"/>
    <n v="1016566.5"/>
    <x v="1"/>
    <n v="67771.100000000006"/>
    <s v="43957Новосибирск"/>
  </r>
  <r>
    <d v="2020-05-06T00:00:00"/>
    <x v="9"/>
    <n v="15"/>
    <n v="839"/>
    <n v="733"/>
    <n v="1221057"/>
    <x v="1"/>
    <n v="81403.8"/>
    <s v="43957Пермь"/>
  </r>
  <r>
    <d v="2020-05-06T00:00:00"/>
    <x v="13"/>
    <n v="15"/>
    <n v="467"/>
    <n v="389"/>
    <n v="739291.5"/>
    <x v="1"/>
    <n v="49286.1"/>
    <s v="43957Ростов-на-Дону"/>
  </r>
  <r>
    <d v="2020-05-06T00:00:00"/>
    <x v="10"/>
    <n v="125"/>
    <n v="20218"/>
    <n v="18647"/>
    <n v="38092344"/>
    <x v="1"/>
    <n v="304738.75199999998"/>
    <s v="43957Санкт-Петербург Север"/>
  </r>
  <r>
    <d v="2020-05-06T00:00:00"/>
    <x v="11"/>
    <n v="129"/>
    <n v="16376"/>
    <n v="15197"/>
    <n v="28770810.105599999"/>
    <x v="1"/>
    <n v="223029.53570232558"/>
    <s v="43957Санкт-Петербург Юг"/>
  </r>
  <r>
    <d v="2020-05-06T00:00:00"/>
    <x v="12"/>
    <n v="10"/>
    <n v="465"/>
    <n v="390"/>
    <n v="696832.5"/>
    <x v="1"/>
    <n v="69683.25"/>
    <s v="43957Тольятти"/>
  </r>
  <r>
    <d v="2020-05-07T00:00:00"/>
    <x v="0"/>
    <n v="36"/>
    <n v="4826"/>
    <n v="4426"/>
    <n v="6175837.5"/>
    <x v="1"/>
    <n v="171551.04166666666"/>
    <s v="43958Волгоград"/>
  </r>
  <r>
    <d v="2020-05-07T00:00:00"/>
    <x v="1"/>
    <n v="31"/>
    <n v="4903"/>
    <n v="4527"/>
    <n v="6591883.5"/>
    <x v="1"/>
    <n v="212641.40322580645"/>
    <s v="43958Екатеринбург"/>
  </r>
  <r>
    <d v="2020-05-07T00:00:00"/>
    <x v="2"/>
    <n v="21"/>
    <n v="1879"/>
    <n v="1695"/>
    <n v="2934504"/>
    <x v="1"/>
    <n v="139738.28571428571"/>
    <s v="43958Казань"/>
  </r>
  <r>
    <d v="2020-05-07T00:00:00"/>
    <x v="3"/>
    <n v="21"/>
    <n v="1542"/>
    <n v="1405"/>
    <n v="2472213"/>
    <x v="1"/>
    <n v="117724.42857142857"/>
    <s v="43958Кемерово"/>
  </r>
  <r>
    <d v="2020-05-07T00:00:00"/>
    <x v="4"/>
    <n v="19"/>
    <n v="1580"/>
    <n v="1435"/>
    <n v="2308336.5"/>
    <x v="1"/>
    <n v="121491.39473684211"/>
    <s v="43958Краснодар"/>
  </r>
  <r>
    <d v="2020-05-07T00:00:00"/>
    <x v="5"/>
    <n v="54"/>
    <n v="12743"/>
    <n v="11858"/>
    <n v="21463023"/>
    <x v="1"/>
    <n v="397463.38888888888"/>
    <s v="43958Москва Восток"/>
  </r>
  <r>
    <d v="2020-05-07T00:00:00"/>
    <x v="6"/>
    <n v="59"/>
    <n v="13495"/>
    <n v="12517"/>
    <n v="22460130"/>
    <x v="1"/>
    <n v="380680.16949152545"/>
    <s v="43958Москва Запад"/>
  </r>
  <r>
    <d v="2020-05-07T00:00:00"/>
    <x v="7"/>
    <n v="19"/>
    <n v="1530"/>
    <n v="1338"/>
    <n v="2350672.5"/>
    <x v="1"/>
    <n v="123719.60526315789"/>
    <s v="43958Нижний Новгород"/>
  </r>
  <r>
    <d v="2020-05-07T00:00:00"/>
    <x v="8"/>
    <n v="15"/>
    <n v="676"/>
    <n v="591"/>
    <n v="965880"/>
    <x v="1"/>
    <n v="64392"/>
    <s v="43958Новосибирск"/>
  </r>
  <r>
    <d v="2020-05-07T00:00:00"/>
    <x v="9"/>
    <n v="15"/>
    <n v="805"/>
    <n v="703"/>
    <n v="1123894.5"/>
    <x v="1"/>
    <n v="74926.3"/>
    <s v="43958Пермь"/>
  </r>
  <r>
    <d v="2020-05-07T00:00:00"/>
    <x v="13"/>
    <n v="15"/>
    <n v="480"/>
    <n v="398"/>
    <n v="769276.5"/>
    <x v="1"/>
    <n v="51285.1"/>
    <s v="43958Ростов-на-Дону"/>
  </r>
  <r>
    <d v="2020-05-07T00:00:00"/>
    <x v="10"/>
    <n v="125"/>
    <n v="18014"/>
    <n v="16675"/>
    <n v="33763989"/>
    <x v="1"/>
    <n v="270111.91200000001"/>
    <s v="43958Санкт-Петербург Север"/>
  </r>
  <r>
    <d v="2020-05-07T00:00:00"/>
    <x v="11"/>
    <n v="129"/>
    <n v="14582"/>
    <n v="13512"/>
    <n v="25325271"/>
    <x v="1"/>
    <n v="196319.93023255814"/>
    <s v="43958Санкт-Петербург Юг"/>
  </r>
  <r>
    <d v="2020-05-07T00:00:00"/>
    <x v="12"/>
    <n v="10"/>
    <n v="563"/>
    <n v="486"/>
    <n v="863754"/>
    <x v="1"/>
    <n v="86375.4"/>
    <s v="43958Тольятти"/>
  </r>
  <r>
    <d v="2020-05-08T00:00:00"/>
    <x v="0"/>
    <n v="36"/>
    <n v="4199"/>
    <n v="3867"/>
    <n v="5365708.5"/>
    <x v="1"/>
    <n v="149047.45833333334"/>
    <s v="43959Волгоград"/>
  </r>
  <r>
    <d v="2020-05-08T00:00:00"/>
    <x v="1"/>
    <n v="31"/>
    <n v="4635"/>
    <n v="4266"/>
    <n v="6293776.5"/>
    <x v="1"/>
    <n v="203025.04838709679"/>
    <s v="43959Екатеринбург"/>
  </r>
  <r>
    <d v="2020-05-08T00:00:00"/>
    <x v="2"/>
    <n v="21"/>
    <n v="1957"/>
    <n v="1755"/>
    <n v="3201358.5"/>
    <x v="1"/>
    <n v="152445.64285714287"/>
    <s v="43959Казань"/>
  </r>
  <r>
    <d v="2020-05-08T00:00:00"/>
    <x v="3"/>
    <n v="21"/>
    <n v="1646"/>
    <n v="1492"/>
    <n v="2645160"/>
    <x v="1"/>
    <n v="125960"/>
    <s v="43959Кемерово"/>
  </r>
  <r>
    <d v="2020-05-08T00:00:00"/>
    <x v="4"/>
    <n v="19"/>
    <n v="1520"/>
    <n v="1380"/>
    <n v="2235960"/>
    <x v="1"/>
    <n v="117682.10526315789"/>
    <s v="43959Краснодар"/>
  </r>
  <r>
    <d v="2020-05-08T00:00:00"/>
    <x v="5"/>
    <n v="54"/>
    <n v="13563"/>
    <n v="12604"/>
    <n v="22846078.5"/>
    <x v="1"/>
    <n v="423075.52777777775"/>
    <s v="43959Москва Восток"/>
  </r>
  <r>
    <d v="2020-05-08T00:00:00"/>
    <x v="6"/>
    <n v="59"/>
    <n v="14098"/>
    <n v="13106"/>
    <n v="23881948.5"/>
    <x v="1"/>
    <n v="404778.78813559323"/>
    <s v="43959Москва Запад"/>
  </r>
  <r>
    <d v="2020-05-08T00:00:00"/>
    <x v="7"/>
    <n v="19"/>
    <n v="1522"/>
    <n v="1340"/>
    <n v="2271454.5"/>
    <x v="1"/>
    <n v="119550.23684210527"/>
    <s v="43959Нижний Новгород"/>
  </r>
  <r>
    <d v="2020-05-08T00:00:00"/>
    <x v="8"/>
    <n v="15"/>
    <n v="703"/>
    <n v="609"/>
    <n v="1046848.5"/>
    <x v="1"/>
    <n v="69789.899999999994"/>
    <s v="43959Новосибирск"/>
  </r>
  <r>
    <d v="2020-05-08T00:00:00"/>
    <x v="9"/>
    <n v="15"/>
    <n v="879"/>
    <n v="768"/>
    <n v="1269786"/>
    <x v="1"/>
    <n v="84652.4"/>
    <s v="43959Пермь"/>
  </r>
  <r>
    <d v="2020-05-08T00:00:00"/>
    <x v="13"/>
    <n v="15"/>
    <n v="492"/>
    <n v="412"/>
    <n v="798759"/>
    <x v="1"/>
    <n v="53250.6"/>
    <s v="43959Ростов-на-Дону"/>
  </r>
  <r>
    <d v="2020-05-08T00:00:00"/>
    <x v="10"/>
    <n v="125"/>
    <n v="24620"/>
    <n v="22641"/>
    <n v="49123180.5"/>
    <x v="1"/>
    <n v="392985.44400000002"/>
    <s v="43959Санкт-Петербург Север"/>
  </r>
  <r>
    <d v="2020-05-08T00:00:00"/>
    <x v="11"/>
    <n v="129"/>
    <n v="20452"/>
    <n v="18857"/>
    <n v="38091556.5"/>
    <x v="1"/>
    <n v="295283.38372093026"/>
    <s v="43959Санкт-Петербург Юг"/>
  </r>
  <r>
    <d v="2020-05-08T00:00:00"/>
    <x v="12"/>
    <n v="10"/>
    <n v="638"/>
    <n v="547"/>
    <n v="959703"/>
    <x v="1"/>
    <n v="95970.3"/>
    <s v="43959Тольятти"/>
  </r>
  <r>
    <d v="2020-05-09T00:00:00"/>
    <x v="0"/>
    <n v="36"/>
    <n v="5413"/>
    <n v="4959"/>
    <n v="7253427"/>
    <x v="1"/>
    <n v="201484.08333333334"/>
    <s v="43960Волгоград"/>
  </r>
  <r>
    <d v="2020-05-09T00:00:00"/>
    <x v="1"/>
    <n v="31"/>
    <n v="4556"/>
    <n v="4220"/>
    <n v="6264933"/>
    <x v="1"/>
    <n v="202094.61290322582"/>
    <s v="43960Екатеринбург"/>
  </r>
  <r>
    <d v="2020-05-09T00:00:00"/>
    <x v="2"/>
    <n v="21"/>
    <n v="1891"/>
    <n v="1709"/>
    <n v="3084892.5"/>
    <x v="1"/>
    <n v="146899.64285714287"/>
    <s v="43960Казань"/>
  </r>
  <r>
    <d v="2020-05-09T00:00:00"/>
    <x v="3"/>
    <n v="21"/>
    <n v="1735"/>
    <n v="1568"/>
    <n v="2831019"/>
    <x v="1"/>
    <n v="134810.42857142858"/>
    <s v="43960Кемерово"/>
  </r>
  <r>
    <d v="2020-05-09T00:00:00"/>
    <x v="4"/>
    <n v="19"/>
    <n v="1542"/>
    <n v="1412"/>
    <n v="2384937"/>
    <x v="1"/>
    <n v="125523"/>
    <s v="43960Краснодар"/>
  </r>
  <r>
    <d v="2020-05-09T00:00:00"/>
    <x v="5"/>
    <n v="54"/>
    <n v="11288"/>
    <n v="10492"/>
    <n v="18085798.5"/>
    <x v="1"/>
    <n v="334922.19444444444"/>
    <s v="43960Москва Восток"/>
  </r>
  <r>
    <d v="2020-05-09T00:00:00"/>
    <x v="6"/>
    <n v="59"/>
    <n v="12016"/>
    <n v="11137"/>
    <n v="19218631.5"/>
    <x v="1"/>
    <n v="325739.51694915252"/>
    <s v="43960Москва Запад"/>
  </r>
  <r>
    <d v="2020-05-09T00:00:00"/>
    <x v="7"/>
    <n v="19"/>
    <n v="1851"/>
    <n v="1635"/>
    <n v="2902167"/>
    <x v="1"/>
    <n v="152745.63157894736"/>
    <s v="43960Нижний Новгород"/>
  </r>
  <r>
    <d v="2020-05-09T00:00:00"/>
    <x v="8"/>
    <n v="15"/>
    <n v="654"/>
    <n v="570"/>
    <n v="955801.5"/>
    <x v="1"/>
    <n v="63720.1"/>
    <s v="43960Новосибирск"/>
  </r>
  <r>
    <d v="2020-05-09T00:00:00"/>
    <x v="9"/>
    <n v="15"/>
    <n v="849"/>
    <n v="740"/>
    <n v="1222932"/>
    <x v="1"/>
    <n v="81528.800000000003"/>
    <s v="43960Пермь"/>
  </r>
  <r>
    <d v="2020-05-09T00:00:00"/>
    <x v="13"/>
    <n v="15"/>
    <n v="623"/>
    <n v="535"/>
    <n v="1081216.5"/>
    <x v="1"/>
    <n v="72081.100000000006"/>
    <s v="43960Ростов-на-Дону"/>
  </r>
  <r>
    <d v="2020-05-09T00:00:00"/>
    <x v="10"/>
    <n v="125"/>
    <n v="20132"/>
    <n v="18617"/>
    <n v="38693427"/>
    <x v="1"/>
    <n v="309547.41600000003"/>
    <s v="43960Санкт-Петербург Север"/>
  </r>
  <r>
    <d v="2020-05-09T00:00:00"/>
    <x v="11"/>
    <n v="129"/>
    <n v="16420"/>
    <n v="15169"/>
    <n v="29768199"/>
    <x v="1"/>
    <n v="230761.23255813954"/>
    <s v="43960Санкт-Петербург Юг"/>
  </r>
  <r>
    <d v="2020-05-09T00:00:00"/>
    <x v="12"/>
    <n v="10"/>
    <n v="644"/>
    <n v="559"/>
    <n v="1046400"/>
    <x v="1"/>
    <n v="104640"/>
    <s v="43960Тольятти"/>
  </r>
  <r>
    <d v="2020-05-10T00:00:00"/>
    <x v="0"/>
    <n v="36"/>
    <n v="5746"/>
    <n v="5277"/>
    <n v="7726069.5"/>
    <x v="1"/>
    <n v="214613.04166666666"/>
    <s v="43961Волгоград"/>
  </r>
  <r>
    <d v="2020-05-10T00:00:00"/>
    <x v="1"/>
    <n v="31"/>
    <n v="5495"/>
    <n v="5093"/>
    <n v="7483194"/>
    <x v="1"/>
    <n v="241393.35483870967"/>
    <s v="43961Екатеринбург"/>
  </r>
  <r>
    <d v="2020-05-10T00:00:00"/>
    <x v="2"/>
    <n v="21"/>
    <n v="2120"/>
    <n v="1921"/>
    <n v="3549097.5"/>
    <x v="1"/>
    <n v="169004.64285714287"/>
    <s v="43961Казань"/>
  </r>
  <r>
    <d v="2020-05-10T00:00:00"/>
    <x v="3"/>
    <n v="21"/>
    <n v="2016"/>
    <n v="1846"/>
    <n v="3312967.5"/>
    <x v="1"/>
    <n v="157760.35714285713"/>
    <s v="43961Кемерово"/>
  </r>
  <r>
    <d v="2020-05-10T00:00:00"/>
    <x v="4"/>
    <n v="19"/>
    <n v="1836"/>
    <n v="1680"/>
    <n v="2767270.5"/>
    <x v="1"/>
    <n v="145645.81578947368"/>
    <s v="43961Краснодар"/>
  </r>
  <r>
    <d v="2020-05-10T00:00:00"/>
    <x v="5"/>
    <n v="54"/>
    <n v="13832"/>
    <n v="12864"/>
    <n v="23443725"/>
    <x v="1"/>
    <n v="434143.05555555556"/>
    <s v="43961Москва Восток"/>
  </r>
  <r>
    <d v="2020-05-10T00:00:00"/>
    <x v="6"/>
    <n v="59"/>
    <n v="14569"/>
    <n v="13566"/>
    <n v="24890404.5"/>
    <x v="1"/>
    <n v="421871.26271186443"/>
    <s v="43961Москва Запад"/>
  </r>
  <r>
    <d v="2020-05-10T00:00:00"/>
    <x v="7"/>
    <n v="19"/>
    <n v="1848"/>
    <n v="1649"/>
    <n v="2862298.5"/>
    <x v="1"/>
    <n v="150647.28947368421"/>
    <s v="43961Нижний Новгород"/>
  </r>
  <r>
    <d v="2020-05-10T00:00:00"/>
    <x v="8"/>
    <n v="15"/>
    <n v="792"/>
    <n v="695"/>
    <n v="1216557"/>
    <x v="1"/>
    <n v="81103.8"/>
    <s v="43961Новосибирск"/>
  </r>
  <r>
    <d v="2020-05-10T00:00:00"/>
    <x v="9"/>
    <n v="15"/>
    <n v="950"/>
    <n v="848"/>
    <n v="1471537.5"/>
    <x v="1"/>
    <n v="98102.5"/>
    <s v="43961Пермь"/>
  </r>
  <r>
    <d v="2020-05-10T00:00:00"/>
    <x v="13"/>
    <n v="15"/>
    <n v="706"/>
    <n v="608"/>
    <n v="1198285.5"/>
    <x v="1"/>
    <n v="79885.7"/>
    <s v="43961Ростов-на-Дону"/>
  </r>
  <r>
    <d v="2020-05-10T00:00:00"/>
    <x v="10"/>
    <n v="125"/>
    <n v="20368"/>
    <n v="18884"/>
    <n v="39010875"/>
    <x v="1"/>
    <n v="312087"/>
    <s v="43961Санкт-Петербург Север"/>
  </r>
  <r>
    <d v="2020-05-10T00:00:00"/>
    <x v="11"/>
    <n v="129"/>
    <n v="16437"/>
    <n v="15285"/>
    <n v="29536176.10605"/>
    <x v="1"/>
    <n v="228962.6054732558"/>
    <s v="43961Санкт-Петербург Юг"/>
  </r>
  <r>
    <d v="2020-05-10T00:00:00"/>
    <x v="12"/>
    <n v="10"/>
    <n v="642"/>
    <n v="556"/>
    <n v="1004788.5"/>
    <x v="1"/>
    <n v="100478.85"/>
    <s v="43961Тольятти"/>
  </r>
  <r>
    <d v="2020-05-11T00:00:00"/>
    <x v="0"/>
    <n v="36"/>
    <n v="4150"/>
    <n v="3838"/>
    <n v="5178169.5"/>
    <x v="2"/>
    <n v="143838.04166666666"/>
    <s v="43962Волгоград"/>
  </r>
  <r>
    <d v="2020-05-11T00:00:00"/>
    <x v="1"/>
    <n v="31"/>
    <n v="4826"/>
    <n v="4483"/>
    <n v="6398719.5"/>
    <x v="2"/>
    <n v="206410.30645161291"/>
    <s v="43962Екатеринбург"/>
  </r>
  <r>
    <d v="2020-05-11T00:00:00"/>
    <x v="2"/>
    <n v="21"/>
    <n v="1916"/>
    <n v="1733"/>
    <n v="3079630.5"/>
    <x v="2"/>
    <n v="146649.07142857142"/>
    <s v="43962Казань"/>
  </r>
  <r>
    <d v="2020-05-11T00:00:00"/>
    <x v="3"/>
    <n v="21"/>
    <n v="1597"/>
    <n v="1457"/>
    <n v="2479396.5"/>
    <x v="2"/>
    <n v="118066.5"/>
    <s v="43962Кемерово"/>
  </r>
  <r>
    <d v="2020-05-11T00:00:00"/>
    <x v="4"/>
    <n v="19"/>
    <n v="1527"/>
    <n v="1389"/>
    <n v="2164365"/>
    <x v="2"/>
    <n v="113913.94736842105"/>
    <s v="43962Краснодар"/>
  </r>
  <r>
    <d v="2020-05-11T00:00:00"/>
    <x v="5"/>
    <n v="54"/>
    <n v="10570"/>
    <n v="9926"/>
    <n v="16971231"/>
    <x v="2"/>
    <n v="314282.05555555556"/>
    <s v="43962Москва Восток"/>
  </r>
  <r>
    <d v="2020-05-11T00:00:00"/>
    <x v="6"/>
    <n v="60"/>
    <n v="11100"/>
    <n v="10407"/>
    <n v="17919144"/>
    <x v="2"/>
    <n v="298652.40000000002"/>
    <s v="43962Москва Запад"/>
  </r>
  <r>
    <d v="2020-05-11T00:00:00"/>
    <x v="7"/>
    <n v="19"/>
    <n v="2530"/>
    <n v="2270"/>
    <n v="3911979"/>
    <x v="2"/>
    <n v="205893.63157894736"/>
    <s v="43962Нижний Новгород"/>
  </r>
  <r>
    <d v="2020-05-11T00:00:00"/>
    <x v="8"/>
    <n v="15"/>
    <n v="654"/>
    <n v="564"/>
    <n v="880356"/>
    <x v="2"/>
    <n v="58690.400000000001"/>
    <s v="43962Новосибирск"/>
  </r>
  <r>
    <d v="2020-05-11T00:00:00"/>
    <x v="9"/>
    <n v="15"/>
    <n v="812"/>
    <n v="714"/>
    <n v="1096002"/>
    <x v="2"/>
    <n v="73066.8"/>
    <s v="43962Пермь"/>
  </r>
  <r>
    <d v="2020-05-11T00:00:00"/>
    <x v="13"/>
    <n v="15"/>
    <n v="684"/>
    <n v="585"/>
    <n v="1081158"/>
    <x v="2"/>
    <n v="72077.2"/>
    <s v="43962Ростов-на-Дону"/>
  </r>
  <r>
    <d v="2020-05-11T00:00:00"/>
    <x v="10"/>
    <n v="125"/>
    <n v="18066"/>
    <n v="16883"/>
    <n v="33781581"/>
    <x v="2"/>
    <n v="270252.64799999999"/>
    <s v="43962Санкт-Петербург Север"/>
  </r>
  <r>
    <d v="2020-05-11T00:00:00"/>
    <x v="11"/>
    <n v="129"/>
    <n v="14043"/>
    <n v="13167"/>
    <n v="24628233.223949999"/>
    <x v="2"/>
    <n v="190916.53661976743"/>
    <s v="43962Санкт-Петербург Юг"/>
  </r>
  <r>
    <d v="2020-05-11T00:00:00"/>
    <x v="12"/>
    <n v="10"/>
    <n v="494"/>
    <n v="421"/>
    <n v="734335.5"/>
    <x v="2"/>
    <n v="73433.55"/>
    <s v="43962Тольятти"/>
  </r>
  <r>
    <d v="2020-05-12T00:00:00"/>
    <x v="0"/>
    <n v="36"/>
    <n v="4418"/>
    <n v="4088"/>
    <n v="5523145.5"/>
    <x v="2"/>
    <n v="153420.70833333334"/>
    <s v="43963Волгоград"/>
  </r>
  <r>
    <d v="2020-05-12T00:00:00"/>
    <x v="1"/>
    <n v="31"/>
    <n v="4800"/>
    <n v="4470"/>
    <n v="6398361"/>
    <x v="2"/>
    <n v="206398.74193548388"/>
    <s v="43963Екатеринбург"/>
  </r>
  <r>
    <d v="2020-05-12T00:00:00"/>
    <x v="2"/>
    <n v="21"/>
    <n v="1926"/>
    <n v="1745"/>
    <n v="3080614.5"/>
    <x v="2"/>
    <n v="146695.92857142858"/>
    <s v="43963Казань"/>
  </r>
  <r>
    <d v="2020-05-12T00:00:00"/>
    <x v="3"/>
    <n v="21"/>
    <n v="1656"/>
    <n v="1516"/>
    <n v="2595778.5"/>
    <x v="2"/>
    <n v="123608.5"/>
    <s v="43963Кемерово"/>
  </r>
  <r>
    <d v="2020-05-12T00:00:00"/>
    <x v="4"/>
    <n v="19"/>
    <n v="1598"/>
    <n v="1454"/>
    <n v="2243160"/>
    <x v="2"/>
    <n v="118061.05263157895"/>
    <s v="43963Краснодар"/>
  </r>
  <r>
    <d v="2020-05-12T00:00:00"/>
    <x v="5"/>
    <n v="54"/>
    <n v="11614"/>
    <n v="10862"/>
    <n v="18718036.5"/>
    <x v="2"/>
    <n v="346630.30555555556"/>
    <s v="43963Москва Восток"/>
  </r>
  <r>
    <d v="2020-05-12T00:00:00"/>
    <x v="6"/>
    <n v="60"/>
    <n v="12000"/>
    <n v="11194"/>
    <n v="19205179.5"/>
    <x v="2"/>
    <n v="320086.32500000001"/>
    <s v="43963Москва Запад"/>
  </r>
  <r>
    <d v="2020-05-12T00:00:00"/>
    <x v="7"/>
    <n v="19"/>
    <n v="1649"/>
    <n v="1460"/>
    <n v="2370432"/>
    <x v="2"/>
    <n v="124759.57894736843"/>
    <s v="43963Нижний Новгород"/>
  </r>
  <r>
    <d v="2020-05-12T00:00:00"/>
    <x v="8"/>
    <n v="15"/>
    <n v="750"/>
    <n v="659"/>
    <n v="1092277.5"/>
    <x v="2"/>
    <n v="72818.5"/>
    <s v="43963Новосибирск"/>
  </r>
  <r>
    <d v="2020-05-12T00:00:00"/>
    <x v="9"/>
    <n v="15"/>
    <n v="845"/>
    <n v="743"/>
    <n v="1123830"/>
    <x v="2"/>
    <n v="74922"/>
    <s v="43963Пермь"/>
  </r>
  <r>
    <d v="2020-05-12T00:00:00"/>
    <x v="13"/>
    <n v="15"/>
    <n v="624"/>
    <n v="538"/>
    <n v="989632.5"/>
    <x v="2"/>
    <n v="65975.5"/>
    <s v="43963Ростов-на-Дону"/>
  </r>
  <r>
    <d v="2020-05-12T00:00:00"/>
    <x v="10"/>
    <n v="125"/>
    <n v="21106"/>
    <n v="19651"/>
    <n v="39578577"/>
    <x v="2"/>
    <n v="316628.61599999998"/>
    <s v="43963Санкт-Петербург Север"/>
  </r>
  <r>
    <d v="2020-05-12T00:00:00"/>
    <x v="11"/>
    <n v="129"/>
    <n v="16387"/>
    <n v="15322"/>
    <n v="29042520"/>
    <x v="2"/>
    <n v="225135.81395348837"/>
    <s v="43963Санкт-Петербург Юг"/>
  </r>
  <r>
    <d v="2020-05-12T00:00:00"/>
    <x v="12"/>
    <n v="10"/>
    <n v="526"/>
    <n v="448"/>
    <n v="732964.5"/>
    <x v="2"/>
    <n v="73296.45"/>
    <s v="43963Тольятти"/>
  </r>
  <r>
    <d v="2020-05-13T00:00:00"/>
    <x v="0"/>
    <n v="36"/>
    <n v="4967"/>
    <n v="4583"/>
    <n v="6333828"/>
    <x v="2"/>
    <n v="175939.66666666666"/>
    <s v="43964Волгоград"/>
  </r>
  <r>
    <d v="2020-05-13T00:00:00"/>
    <x v="1"/>
    <n v="31"/>
    <n v="5251"/>
    <n v="4853"/>
    <n v="6993952.5"/>
    <x v="2"/>
    <n v="225611.37096774194"/>
    <s v="43964Екатеринбург"/>
  </r>
  <r>
    <d v="2020-05-13T00:00:00"/>
    <x v="2"/>
    <n v="21"/>
    <n v="2061"/>
    <n v="1876"/>
    <n v="3288069"/>
    <x v="2"/>
    <n v="156574.71428571429"/>
    <s v="43964Казань"/>
  </r>
  <r>
    <d v="2020-05-13T00:00:00"/>
    <x v="3"/>
    <n v="21"/>
    <n v="1698"/>
    <n v="1554"/>
    <n v="2629782"/>
    <x v="2"/>
    <n v="125227.71428571429"/>
    <s v="43964Кемерово"/>
  </r>
  <r>
    <d v="2020-05-13T00:00:00"/>
    <x v="4"/>
    <n v="19"/>
    <n v="1605"/>
    <n v="1447"/>
    <n v="2263651.5"/>
    <x v="2"/>
    <n v="119139.55263157895"/>
    <s v="43964Краснодар"/>
  </r>
  <r>
    <d v="2020-05-13T00:00:00"/>
    <x v="5"/>
    <n v="54"/>
    <n v="11522"/>
    <n v="10803"/>
    <n v="18784000.5"/>
    <x v="2"/>
    <n v="347851.86111111112"/>
    <s v="43964Москва Восток"/>
  </r>
  <r>
    <d v="2020-05-13T00:00:00"/>
    <x v="6"/>
    <n v="60"/>
    <n v="12007"/>
    <n v="11245"/>
    <n v="19437273"/>
    <x v="2"/>
    <n v="323954.55"/>
    <s v="43964Москва Запад"/>
  </r>
  <r>
    <d v="2020-05-13T00:00:00"/>
    <x v="7"/>
    <n v="19"/>
    <n v="1625"/>
    <n v="1444"/>
    <n v="2373337.5"/>
    <x v="2"/>
    <n v="124912.5"/>
    <s v="43964Нижний Новгород"/>
  </r>
  <r>
    <d v="2020-05-13T00:00:00"/>
    <x v="8"/>
    <n v="15"/>
    <n v="854"/>
    <n v="756"/>
    <n v="1172691"/>
    <x v="2"/>
    <n v="78179.399999999994"/>
    <s v="43964Новосибирск"/>
  </r>
  <r>
    <d v="2020-05-13T00:00:00"/>
    <x v="9"/>
    <n v="15"/>
    <n v="898"/>
    <n v="795"/>
    <n v="1243507.5"/>
    <x v="2"/>
    <n v="82900.5"/>
    <s v="43964Пермь"/>
  </r>
  <r>
    <d v="2020-05-13T00:00:00"/>
    <x v="13"/>
    <n v="15"/>
    <n v="599"/>
    <n v="515"/>
    <n v="949912.5"/>
    <x v="2"/>
    <n v="63327.5"/>
    <s v="43964Ростов-на-Дону"/>
  </r>
  <r>
    <d v="2020-05-13T00:00:00"/>
    <x v="10"/>
    <n v="125"/>
    <n v="19965"/>
    <n v="18573"/>
    <n v="37197115.5"/>
    <x v="2"/>
    <n v="297576.924"/>
    <s v="43964Санкт-Петербург Север"/>
  </r>
  <r>
    <d v="2020-05-13T00:00:00"/>
    <x v="11"/>
    <n v="129"/>
    <n v="15304"/>
    <n v="14315"/>
    <n v="26467453.5"/>
    <x v="2"/>
    <n v="205174.05813953487"/>
    <s v="43964Санкт-Петербург Юг"/>
  </r>
  <r>
    <d v="2020-05-13T00:00:00"/>
    <x v="12"/>
    <n v="10"/>
    <n v="612"/>
    <n v="530"/>
    <n v="865714.5"/>
    <x v="2"/>
    <n v="86571.45"/>
    <s v="43964Тольятти"/>
  </r>
  <r>
    <d v="2020-05-14T00:00:00"/>
    <x v="0"/>
    <n v="36"/>
    <n v="4285"/>
    <n v="3950"/>
    <n v="5366602.5"/>
    <x v="2"/>
    <n v="149072.29166666666"/>
    <s v="43965Волгоград"/>
  </r>
  <r>
    <d v="2020-05-14T00:00:00"/>
    <x v="1"/>
    <n v="31"/>
    <n v="4695"/>
    <n v="4372"/>
    <n v="6053649"/>
    <x v="2"/>
    <n v="195279"/>
    <s v="43965Екатеринбург"/>
  </r>
  <r>
    <d v="2020-05-14T00:00:00"/>
    <x v="2"/>
    <n v="21"/>
    <n v="1993"/>
    <n v="1796"/>
    <n v="3166479"/>
    <x v="2"/>
    <n v="150784.71428571429"/>
    <s v="43965Казань"/>
  </r>
  <r>
    <d v="2020-05-14T00:00:00"/>
    <x v="3"/>
    <n v="21"/>
    <n v="1706"/>
    <n v="1548"/>
    <n v="2703132"/>
    <x v="2"/>
    <n v="128720.57142857143"/>
    <s v="43965Кемерово"/>
  </r>
  <r>
    <d v="2020-05-14T00:00:00"/>
    <x v="4"/>
    <n v="19"/>
    <n v="1635"/>
    <n v="1487"/>
    <n v="2225341.5"/>
    <x v="2"/>
    <n v="117123.23684210527"/>
    <s v="43965Краснодар"/>
  </r>
  <r>
    <d v="2020-05-14T00:00:00"/>
    <x v="5"/>
    <n v="54"/>
    <n v="11194"/>
    <n v="10554"/>
    <n v="18640998"/>
    <x v="2"/>
    <n v="345203.66666666669"/>
    <s v="43965Москва Восток"/>
  </r>
  <r>
    <d v="2020-05-14T00:00:00"/>
    <x v="6"/>
    <n v="60"/>
    <n v="11935"/>
    <n v="11178"/>
    <n v="19942435.5"/>
    <x v="2"/>
    <n v="332373.92499999999"/>
    <s v="43965Москва Запад"/>
  </r>
  <r>
    <d v="2020-05-14T00:00:00"/>
    <x v="7"/>
    <n v="19"/>
    <n v="1675"/>
    <n v="1475"/>
    <n v="2441520"/>
    <x v="2"/>
    <n v="128501.05263157895"/>
    <s v="43965Нижний Новгород"/>
  </r>
  <r>
    <d v="2020-05-14T00:00:00"/>
    <x v="8"/>
    <n v="16"/>
    <n v="834"/>
    <n v="735"/>
    <n v="1131676.5"/>
    <x v="2"/>
    <n v="70729.78125"/>
    <s v="43965Новосибирск"/>
  </r>
  <r>
    <d v="2020-05-14T00:00:00"/>
    <x v="9"/>
    <n v="15"/>
    <n v="890"/>
    <n v="777"/>
    <n v="1223491.5"/>
    <x v="2"/>
    <n v="81566.100000000006"/>
    <s v="43965Пермь"/>
  </r>
  <r>
    <d v="2020-05-14T00:00:00"/>
    <x v="13"/>
    <n v="15"/>
    <n v="638"/>
    <n v="548"/>
    <n v="963502.5"/>
    <x v="2"/>
    <n v="64233.5"/>
    <s v="43965Ростов-на-Дону"/>
  </r>
  <r>
    <d v="2020-05-14T00:00:00"/>
    <x v="10"/>
    <n v="125"/>
    <n v="20247"/>
    <n v="18812"/>
    <n v="37963150.5"/>
    <x v="2"/>
    <n v="303705.20400000003"/>
    <s v="43965Санкт-Петербург Север"/>
  </r>
  <r>
    <d v="2020-05-14T00:00:00"/>
    <x v="11"/>
    <n v="129"/>
    <n v="15804"/>
    <n v="14738"/>
    <n v="28181292"/>
    <x v="2"/>
    <n v="218459.62790697673"/>
    <s v="43965Санкт-Петербург Юг"/>
  </r>
  <r>
    <d v="2020-05-14T00:00:00"/>
    <x v="12"/>
    <n v="10"/>
    <n v="627"/>
    <n v="545"/>
    <n v="981564"/>
    <x v="2"/>
    <n v="98156.4"/>
    <s v="43965Тольятти"/>
  </r>
  <r>
    <d v="2020-05-15T00:00:00"/>
    <x v="0"/>
    <n v="36"/>
    <n v="4862"/>
    <n v="4476"/>
    <n v="6293952"/>
    <x v="2"/>
    <n v="174832"/>
    <s v="43966Волгоград"/>
  </r>
  <r>
    <d v="2020-05-15T00:00:00"/>
    <x v="1"/>
    <n v="31"/>
    <n v="5184"/>
    <n v="4778"/>
    <n v="6876454.5"/>
    <x v="2"/>
    <n v="221821.11290322582"/>
    <s v="43966Екатеринбург"/>
  </r>
  <r>
    <d v="2020-05-15T00:00:00"/>
    <x v="2"/>
    <n v="21"/>
    <n v="2255"/>
    <n v="2045"/>
    <n v="3772258.5"/>
    <x v="2"/>
    <n v="179631.35714285713"/>
    <s v="43966Казань"/>
  </r>
  <r>
    <d v="2020-05-15T00:00:00"/>
    <x v="3"/>
    <n v="21"/>
    <n v="1926"/>
    <n v="1742"/>
    <n v="3038293.5"/>
    <x v="2"/>
    <n v="144680.64285714287"/>
    <s v="43966Кемерово"/>
  </r>
  <r>
    <d v="2020-05-15T00:00:00"/>
    <x v="4"/>
    <n v="19"/>
    <n v="1780"/>
    <n v="1615"/>
    <n v="2477487"/>
    <x v="2"/>
    <n v="130394.05263157895"/>
    <s v="43966Краснодар"/>
  </r>
  <r>
    <d v="2020-05-15T00:00:00"/>
    <x v="5"/>
    <n v="54"/>
    <n v="12791"/>
    <n v="11950"/>
    <n v="21895294.5"/>
    <x v="2"/>
    <n v="405468.41666666669"/>
    <s v="43966Москва Восток"/>
  </r>
  <r>
    <d v="2020-05-15T00:00:00"/>
    <x v="6"/>
    <n v="60"/>
    <n v="13544"/>
    <n v="12643"/>
    <n v="23085222"/>
    <x v="2"/>
    <n v="384753.7"/>
    <s v="43966Москва Запад"/>
  </r>
  <r>
    <d v="2020-05-15T00:00:00"/>
    <x v="7"/>
    <n v="19"/>
    <n v="1940"/>
    <n v="1715"/>
    <n v="2949078"/>
    <x v="2"/>
    <n v="155214.63157894736"/>
    <s v="43966Нижний Новгород"/>
  </r>
  <r>
    <d v="2020-05-15T00:00:00"/>
    <x v="8"/>
    <n v="16"/>
    <n v="817"/>
    <n v="718"/>
    <n v="1091040"/>
    <x v="2"/>
    <n v="68190"/>
    <s v="43966Новосибирск"/>
  </r>
  <r>
    <d v="2020-05-15T00:00:00"/>
    <x v="9"/>
    <n v="15"/>
    <n v="980"/>
    <n v="867"/>
    <n v="1370482.5"/>
    <x v="2"/>
    <n v="91365.5"/>
    <s v="43966Пермь"/>
  </r>
  <r>
    <d v="2020-05-15T00:00:00"/>
    <x v="13"/>
    <n v="15"/>
    <n v="688"/>
    <n v="598"/>
    <n v="1122730.5"/>
    <x v="2"/>
    <n v="74848.7"/>
    <s v="43966Ростов-на-Дону"/>
  </r>
  <r>
    <d v="2020-05-15T00:00:00"/>
    <x v="10"/>
    <n v="125"/>
    <n v="21862"/>
    <n v="20235"/>
    <n v="42271377"/>
    <x v="2"/>
    <n v="338171.016"/>
    <s v="43966Санкт-Петербург Север"/>
  </r>
  <r>
    <d v="2020-05-15T00:00:00"/>
    <x v="11"/>
    <n v="129"/>
    <n v="17808"/>
    <n v="16486"/>
    <n v="32354331"/>
    <x v="2"/>
    <n v="250808.76744186046"/>
    <s v="43966Санкт-Петербург Юг"/>
  </r>
  <r>
    <d v="2020-05-15T00:00:00"/>
    <x v="12"/>
    <n v="10"/>
    <n v="743"/>
    <n v="652"/>
    <n v="1150579.5"/>
    <x v="2"/>
    <n v="115057.95"/>
    <s v="43966Тольятти"/>
  </r>
  <r>
    <d v="2020-05-16T00:00:00"/>
    <x v="0"/>
    <n v="36"/>
    <n v="5286"/>
    <n v="4867"/>
    <n v="6652179"/>
    <x v="2"/>
    <n v="184782.75"/>
    <s v="43967Волгоград"/>
  </r>
  <r>
    <d v="2020-05-16T00:00:00"/>
    <x v="1"/>
    <n v="31"/>
    <n v="5593"/>
    <n v="5177"/>
    <n v="7583758.5"/>
    <x v="2"/>
    <n v="244637.37096774194"/>
    <s v="43967Екатеринбург"/>
  </r>
  <r>
    <d v="2020-05-16T00:00:00"/>
    <x v="2"/>
    <n v="21"/>
    <n v="2427"/>
    <n v="2213"/>
    <n v="4025148"/>
    <x v="2"/>
    <n v="191673.71428571429"/>
    <s v="43967Казань"/>
  </r>
  <r>
    <d v="2020-05-16T00:00:00"/>
    <x v="3"/>
    <n v="21"/>
    <n v="2145"/>
    <n v="1947"/>
    <n v="3395892"/>
    <x v="2"/>
    <n v="161709.14285714287"/>
    <s v="43967Кемерово"/>
  </r>
  <r>
    <d v="2020-05-16T00:00:00"/>
    <x v="4"/>
    <n v="19"/>
    <n v="2039"/>
    <n v="1868"/>
    <n v="2922883.5"/>
    <x v="2"/>
    <n v="153835.97368421053"/>
    <s v="43967Краснодар"/>
  </r>
  <r>
    <d v="2020-05-16T00:00:00"/>
    <x v="5"/>
    <n v="54"/>
    <n v="13170"/>
    <n v="12299"/>
    <n v="22355338.5"/>
    <x v="2"/>
    <n v="413987.75"/>
    <s v="43967Москва Восток"/>
  </r>
  <r>
    <d v="2020-05-16T00:00:00"/>
    <x v="6"/>
    <n v="60"/>
    <n v="14049"/>
    <n v="13118"/>
    <n v="23689383"/>
    <x v="2"/>
    <n v="394823.05"/>
    <s v="43967Москва Запад"/>
  </r>
  <r>
    <d v="2020-05-16T00:00:00"/>
    <x v="7"/>
    <n v="19"/>
    <n v="2080"/>
    <n v="1844"/>
    <n v="3222517.5"/>
    <x v="2"/>
    <n v="169606.18421052632"/>
    <s v="43967Нижний Новгород"/>
  </r>
  <r>
    <d v="2020-05-16T00:00:00"/>
    <x v="8"/>
    <n v="16"/>
    <n v="920"/>
    <n v="818"/>
    <n v="1316350.5"/>
    <x v="2"/>
    <n v="82271.90625"/>
    <s v="43967Новосибирск"/>
  </r>
  <r>
    <d v="2020-05-16T00:00:00"/>
    <x v="9"/>
    <n v="15"/>
    <n v="1111"/>
    <n v="992"/>
    <n v="1601425.5"/>
    <x v="2"/>
    <n v="106761.7"/>
    <s v="43967Пермь"/>
  </r>
  <r>
    <d v="2020-05-16T00:00:00"/>
    <x v="13"/>
    <n v="15"/>
    <n v="747"/>
    <n v="647"/>
    <n v="1215033"/>
    <x v="2"/>
    <n v="81002.2"/>
    <s v="43967Ростов-на-Дону"/>
  </r>
  <r>
    <d v="2020-05-16T00:00:00"/>
    <x v="10"/>
    <n v="125"/>
    <n v="22291"/>
    <n v="20635"/>
    <n v="42323631"/>
    <x v="2"/>
    <n v="338589.04800000001"/>
    <s v="43967Санкт-Петербург Север"/>
  </r>
  <r>
    <d v="2020-05-16T00:00:00"/>
    <x v="11"/>
    <n v="129"/>
    <n v="17914"/>
    <n v="16631"/>
    <n v="32235864"/>
    <x v="2"/>
    <n v="249890.41860465117"/>
    <s v="43967Санкт-Петербург Юг"/>
  </r>
  <r>
    <d v="2020-05-16T00:00:00"/>
    <x v="12"/>
    <n v="10"/>
    <n v="760"/>
    <n v="672"/>
    <n v="1130506.5"/>
    <x v="2"/>
    <n v="113050.65"/>
    <s v="43967Тольятти"/>
  </r>
  <r>
    <d v="2020-05-17T00:00:00"/>
    <x v="0"/>
    <n v="36"/>
    <n v="4918"/>
    <n v="4554"/>
    <n v="5952802.5"/>
    <x v="2"/>
    <n v="165355.625"/>
    <s v="43968Волгоград"/>
  </r>
  <r>
    <d v="2020-05-17T00:00:00"/>
    <x v="1"/>
    <n v="31"/>
    <n v="5206"/>
    <n v="4843"/>
    <n v="6774946.5"/>
    <x v="2"/>
    <n v="218546.66129032258"/>
    <s v="43968Екатеринбург"/>
  </r>
  <r>
    <d v="2020-05-17T00:00:00"/>
    <x v="2"/>
    <n v="21"/>
    <n v="2054"/>
    <n v="1883"/>
    <n v="3191155.5"/>
    <x v="2"/>
    <n v="151959.78571428571"/>
    <s v="43968Казань"/>
  </r>
  <r>
    <d v="2020-05-17T00:00:00"/>
    <x v="3"/>
    <n v="21"/>
    <n v="1874"/>
    <n v="1705"/>
    <n v="2882458.5"/>
    <x v="2"/>
    <n v="137259.92857142858"/>
    <s v="43968Кемерово"/>
  </r>
  <r>
    <d v="2020-05-17T00:00:00"/>
    <x v="4"/>
    <n v="19"/>
    <n v="1790"/>
    <n v="1633"/>
    <n v="2435632.5"/>
    <x v="2"/>
    <n v="128191.18421052632"/>
    <s v="43968Краснодар"/>
  </r>
  <r>
    <d v="2020-05-17T00:00:00"/>
    <x v="5"/>
    <n v="54"/>
    <n v="11128"/>
    <n v="10467"/>
    <n v="18449091"/>
    <x v="2"/>
    <n v="341649.83333333331"/>
    <s v="43968Москва Восток"/>
  </r>
  <r>
    <d v="2020-05-17T00:00:00"/>
    <x v="6"/>
    <n v="60"/>
    <n v="11698"/>
    <n v="10989"/>
    <n v="19546386"/>
    <x v="2"/>
    <n v="325773.09999999998"/>
    <s v="43968Москва Запад"/>
  </r>
  <r>
    <d v="2020-05-17T00:00:00"/>
    <x v="7"/>
    <n v="19"/>
    <n v="1871"/>
    <n v="1660"/>
    <n v="2694289.5"/>
    <x v="2"/>
    <n v="141804.71052631579"/>
    <s v="43968Нижний Новгород"/>
  </r>
  <r>
    <d v="2020-05-17T00:00:00"/>
    <x v="8"/>
    <n v="16"/>
    <n v="859"/>
    <n v="746"/>
    <n v="1157529"/>
    <x v="2"/>
    <n v="72345.5625"/>
    <s v="43968Новосибирск"/>
  </r>
  <r>
    <d v="2020-05-17T00:00:00"/>
    <x v="9"/>
    <n v="15"/>
    <n v="971"/>
    <n v="856"/>
    <n v="1377577.5"/>
    <x v="2"/>
    <n v="91838.5"/>
    <s v="43968Пермь"/>
  </r>
  <r>
    <d v="2020-05-17T00:00:00"/>
    <x v="13"/>
    <n v="15"/>
    <n v="692"/>
    <n v="591"/>
    <n v="1060489.5"/>
    <x v="2"/>
    <n v="70699.3"/>
    <s v="43968Ростов-на-Дону"/>
  </r>
  <r>
    <d v="2020-05-17T00:00:00"/>
    <x v="10"/>
    <n v="125"/>
    <n v="20079"/>
    <n v="18721"/>
    <n v="36834567"/>
    <x v="2"/>
    <n v="294676.53600000002"/>
    <s v="43968Санкт-Петербург Север"/>
  </r>
  <r>
    <d v="2020-05-17T00:00:00"/>
    <x v="11"/>
    <n v="129"/>
    <n v="15744"/>
    <n v="14685"/>
    <n v="26659930.5"/>
    <x v="2"/>
    <n v="206666.12790697673"/>
    <s v="43968Санкт-Петербург Юг"/>
  </r>
  <r>
    <d v="2020-05-17T00:00:00"/>
    <x v="12"/>
    <n v="10"/>
    <n v="591"/>
    <n v="513"/>
    <n v="843727.5"/>
    <x v="2"/>
    <n v="84372.75"/>
    <s v="43968Тольятти"/>
  </r>
  <r>
    <d v="2020-05-18T00:00:00"/>
    <x v="0"/>
    <n v="36"/>
    <n v="4885"/>
    <n v="4502"/>
    <n v="5798476.5"/>
    <x v="3"/>
    <n v="161068.79166666666"/>
    <s v="43969Волгоград"/>
  </r>
  <r>
    <d v="2020-05-18T00:00:00"/>
    <x v="1"/>
    <n v="31"/>
    <n v="5165"/>
    <n v="4813"/>
    <n v="6609714"/>
    <x v="3"/>
    <n v="213216.5806451613"/>
    <s v="43969Екатеринбург"/>
  </r>
  <r>
    <d v="2020-05-18T00:00:00"/>
    <x v="2"/>
    <n v="21"/>
    <n v="2136"/>
    <n v="1947"/>
    <n v="3360135"/>
    <x v="3"/>
    <n v="160006.42857142858"/>
    <s v="43969Казань"/>
  </r>
  <r>
    <d v="2020-05-18T00:00:00"/>
    <x v="3"/>
    <n v="21"/>
    <n v="1834"/>
    <n v="1660"/>
    <n v="2826379.5"/>
    <x v="3"/>
    <n v="134589.5"/>
    <s v="43969Кемерово"/>
  </r>
  <r>
    <d v="2020-05-18T00:00:00"/>
    <x v="4"/>
    <n v="19"/>
    <n v="1741"/>
    <n v="1597"/>
    <n v="2324490"/>
    <x v="3"/>
    <n v="122341.57894736843"/>
    <s v="43969Краснодар"/>
  </r>
  <r>
    <d v="2020-05-18T00:00:00"/>
    <x v="5"/>
    <n v="54"/>
    <n v="12012"/>
    <n v="11308"/>
    <n v="19855122"/>
    <x v="3"/>
    <n v="367687.44444444444"/>
    <s v="43969Москва Восток"/>
  </r>
  <r>
    <d v="2020-05-18T00:00:00"/>
    <x v="6"/>
    <n v="60"/>
    <n v="12460"/>
    <n v="11665"/>
    <n v="20422435.5"/>
    <x v="3"/>
    <n v="340373.92499999999"/>
    <s v="43969Москва Запад"/>
  </r>
  <r>
    <d v="2020-05-18T00:00:00"/>
    <x v="7"/>
    <n v="19"/>
    <n v="1858"/>
    <n v="1648"/>
    <n v="2588148"/>
    <x v="3"/>
    <n v="136218.31578947368"/>
    <s v="43969Нижний Новгород"/>
  </r>
  <r>
    <d v="2020-05-18T00:00:00"/>
    <x v="8"/>
    <n v="16"/>
    <n v="864"/>
    <n v="765"/>
    <n v="1230711"/>
    <x v="3"/>
    <n v="76919.4375"/>
    <s v="43969Новосибирск"/>
  </r>
  <r>
    <d v="2020-05-18T00:00:00"/>
    <x v="9"/>
    <n v="16"/>
    <n v="925"/>
    <n v="816"/>
    <n v="1246162.5"/>
    <x v="3"/>
    <n v="77885.15625"/>
    <s v="43969Пермь"/>
  </r>
  <r>
    <d v="2020-05-18T00:00:00"/>
    <x v="13"/>
    <n v="15"/>
    <n v="729"/>
    <n v="636"/>
    <n v="1115146.5"/>
    <x v="3"/>
    <n v="74343.100000000006"/>
    <s v="43969Ростов-на-Дону"/>
  </r>
  <r>
    <d v="2020-05-18T00:00:00"/>
    <x v="10"/>
    <n v="125"/>
    <n v="20449"/>
    <n v="19060"/>
    <n v="36876888"/>
    <x v="3"/>
    <n v="295015.10399999999"/>
    <s v="43969Санкт-Петербург Север"/>
  </r>
  <r>
    <d v="2020-05-18T00:00:00"/>
    <x v="11"/>
    <n v="129"/>
    <n v="16110"/>
    <n v="14992"/>
    <n v="27535284.147600003"/>
    <x v="3"/>
    <n v="213451.81509767444"/>
    <s v="43969Санкт-Петербург Юг"/>
  </r>
  <r>
    <d v="2020-05-18T00:00:00"/>
    <x v="12"/>
    <n v="10"/>
    <n v="645"/>
    <n v="565"/>
    <n v="936427.5"/>
    <x v="3"/>
    <n v="93642.75"/>
    <s v="43969Тольятти"/>
  </r>
  <r>
    <d v="2020-05-19T00:00:00"/>
    <x v="0"/>
    <n v="36"/>
    <n v="5094"/>
    <n v="4716"/>
    <n v="6173463"/>
    <x v="3"/>
    <n v="171485.08333333334"/>
    <s v="43970Волгоград"/>
  </r>
  <r>
    <d v="2020-05-19T00:00:00"/>
    <x v="1"/>
    <n v="31"/>
    <n v="5389"/>
    <n v="5024"/>
    <n v="6815511"/>
    <x v="3"/>
    <n v="219855.19354838709"/>
    <s v="43970Екатеринбург"/>
  </r>
  <r>
    <d v="2020-05-19T00:00:00"/>
    <x v="2"/>
    <n v="21"/>
    <n v="2245"/>
    <n v="2053"/>
    <n v="3552937.5"/>
    <x v="3"/>
    <n v="169187.5"/>
    <s v="43970Казань"/>
  </r>
  <r>
    <d v="2020-05-19T00:00:00"/>
    <x v="3"/>
    <n v="21"/>
    <n v="1860"/>
    <n v="1704"/>
    <n v="2771116.5"/>
    <x v="3"/>
    <n v="131957.92857142858"/>
    <s v="43970Кемерово"/>
  </r>
  <r>
    <d v="2020-05-19T00:00:00"/>
    <x v="4"/>
    <n v="19"/>
    <n v="1831"/>
    <n v="1667"/>
    <n v="2446530"/>
    <x v="3"/>
    <n v="128764.73684210527"/>
    <s v="43970Краснодар"/>
  </r>
  <r>
    <d v="2020-05-19T00:00:00"/>
    <x v="5"/>
    <n v="54"/>
    <n v="13070"/>
    <n v="12244"/>
    <n v="20590072.5"/>
    <x v="3"/>
    <n v="381297.63888888888"/>
    <s v="43970Москва Восток"/>
  </r>
  <r>
    <d v="2020-05-19T00:00:00"/>
    <x v="6"/>
    <n v="60"/>
    <n v="13867"/>
    <n v="12987"/>
    <n v="21945858"/>
    <x v="3"/>
    <n v="365764.3"/>
    <s v="43970Москва Запад"/>
  </r>
  <r>
    <d v="2020-05-19T00:00:00"/>
    <x v="7"/>
    <n v="19"/>
    <n v="1999"/>
    <n v="1799"/>
    <n v="2865337.5"/>
    <x v="3"/>
    <n v="150807.23684210525"/>
    <s v="43970Нижний Новгород"/>
  </r>
  <r>
    <d v="2020-05-19T00:00:00"/>
    <x v="8"/>
    <n v="17"/>
    <n v="857"/>
    <n v="757"/>
    <n v="1126810.5"/>
    <x v="3"/>
    <n v="66282.970588235301"/>
    <s v="43970Новосибирск"/>
  </r>
  <r>
    <d v="2020-05-19T00:00:00"/>
    <x v="9"/>
    <n v="16"/>
    <n v="1012"/>
    <n v="900"/>
    <n v="1364847"/>
    <x v="3"/>
    <n v="85302.9375"/>
    <s v="43970Пермь"/>
  </r>
  <r>
    <d v="2020-05-19T00:00:00"/>
    <x v="13"/>
    <n v="15"/>
    <n v="930"/>
    <n v="827"/>
    <n v="1403047.5"/>
    <x v="3"/>
    <n v="93536.5"/>
    <s v="43970Ростов-на-Дону"/>
  </r>
  <r>
    <d v="2020-05-19T00:00:00"/>
    <x v="10"/>
    <n v="125"/>
    <n v="20771"/>
    <n v="19338"/>
    <n v="37023243"/>
    <x v="3"/>
    <n v="296185.94400000002"/>
    <s v="43970Санкт-Петербург Север"/>
  </r>
  <r>
    <d v="2020-05-19T00:00:00"/>
    <x v="11"/>
    <n v="129"/>
    <n v="16191"/>
    <n v="15102"/>
    <n v="27093624"/>
    <x v="3"/>
    <n v="210028.09302325582"/>
    <s v="43970Санкт-Петербург Юг"/>
  </r>
  <r>
    <d v="2020-05-19T00:00:00"/>
    <x v="12"/>
    <n v="10"/>
    <n v="649"/>
    <n v="568"/>
    <n v="938764.5"/>
    <x v="3"/>
    <n v="93876.45"/>
    <s v="43970Тольятти"/>
  </r>
  <r>
    <d v="2020-05-20T00:00:00"/>
    <x v="0"/>
    <n v="36"/>
    <n v="5914"/>
    <n v="5384"/>
    <n v="7121946"/>
    <x v="3"/>
    <n v="197831.83333333334"/>
    <s v="43971Волгоград"/>
  </r>
  <r>
    <d v="2020-05-20T00:00:00"/>
    <x v="1"/>
    <n v="31"/>
    <n v="5698"/>
    <n v="5258"/>
    <n v="7247575.5"/>
    <x v="3"/>
    <n v="233792.75806451612"/>
    <s v="43971Екатеринбург"/>
  </r>
  <r>
    <d v="2020-05-20T00:00:00"/>
    <x v="2"/>
    <n v="21"/>
    <n v="2410"/>
    <n v="2202"/>
    <n v="3918987"/>
    <x v="3"/>
    <n v="186618.42857142858"/>
    <s v="43971Казань"/>
  </r>
  <r>
    <d v="2020-05-20T00:00:00"/>
    <x v="3"/>
    <n v="21"/>
    <n v="1921"/>
    <n v="1767"/>
    <n v="2929330.5"/>
    <x v="3"/>
    <n v="139491.92857142858"/>
    <s v="43971Кемерово"/>
  </r>
  <r>
    <d v="2020-05-20T00:00:00"/>
    <x v="4"/>
    <n v="19"/>
    <n v="1823"/>
    <n v="1678"/>
    <n v="2520759"/>
    <x v="3"/>
    <n v="132671.52631578947"/>
    <s v="43971Краснодар"/>
  </r>
  <r>
    <d v="2020-05-20T00:00:00"/>
    <x v="5"/>
    <n v="54"/>
    <n v="13298"/>
    <n v="12428"/>
    <n v="21411349.5"/>
    <x v="3"/>
    <n v="396506.47222222225"/>
    <s v="43971Москва Восток"/>
  </r>
  <r>
    <d v="2020-05-20T00:00:00"/>
    <x v="6"/>
    <n v="60"/>
    <n v="13792"/>
    <n v="12834"/>
    <n v="21959286"/>
    <x v="3"/>
    <n v="365988.1"/>
    <s v="43971Москва Запад"/>
  </r>
  <r>
    <d v="2020-05-20T00:00:00"/>
    <x v="7"/>
    <n v="19"/>
    <n v="1889"/>
    <n v="1690"/>
    <n v="2692230"/>
    <x v="3"/>
    <n v="141696.31578947368"/>
    <s v="43971Нижний Новгород"/>
  </r>
  <r>
    <d v="2020-05-20T00:00:00"/>
    <x v="8"/>
    <n v="17"/>
    <n v="890"/>
    <n v="794"/>
    <n v="1217749.5"/>
    <x v="3"/>
    <n v="71632.323529411762"/>
    <s v="43971Новосибирск"/>
  </r>
  <r>
    <d v="2020-05-20T00:00:00"/>
    <x v="9"/>
    <n v="16"/>
    <n v="1050"/>
    <n v="938"/>
    <n v="1430254.5"/>
    <x v="3"/>
    <n v="89390.90625"/>
    <s v="43971Пермь"/>
  </r>
  <r>
    <d v="2020-05-20T00:00:00"/>
    <x v="13"/>
    <n v="15"/>
    <n v="760"/>
    <n v="664"/>
    <n v="1104858"/>
    <x v="3"/>
    <n v="73657.2"/>
    <s v="43971Ростов-на-Дону"/>
  </r>
  <r>
    <d v="2020-05-20T00:00:00"/>
    <x v="10"/>
    <n v="125"/>
    <n v="21674"/>
    <n v="20155"/>
    <n v="39639309"/>
    <x v="3"/>
    <n v="317114.47200000001"/>
    <s v="43971Санкт-Петербург Север"/>
  </r>
  <r>
    <d v="2020-05-20T00:00:00"/>
    <x v="11"/>
    <n v="129"/>
    <n v="17095"/>
    <n v="15919"/>
    <n v="29368771.617449999"/>
    <x v="3"/>
    <n v="227664.8962593023"/>
    <s v="43971Санкт-Петербург Юг"/>
  </r>
  <r>
    <d v="2020-05-20T00:00:00"/>
    <x v="12"/>
    <n v="10"/>
    <n v="745"/>
    <n v="654"/>
    <n v="1037247"/>
    <x v="3"/>
    <n v="103724.7"/>
    <s v="43971Тольятти"/>
  </r>
  <r>
    <d v="2020-05-21T00:00:00"/>
    <x v="0"/>
    <n v="36"/>
    <n v="4816"/>
    <n v="4452"/>
    <n v="5864085"/>
    <x v="3"/>
    <n v="162891.25"/>
    <s v="43972Волгоград"/>
  </r>
  <r>
    <d v="2020-05-21T00:00:00"/>
    <x v="1"/>
    <n v="31"/>
    <n v="5207"/>
    <n v="4868"/>
    <n v="6633847.5"/>
    <x v="3"/>
    <n v="213995.0806451613"/>
    <s v="43972Екатеринбург"/>
  </r>
  <r>
    <d v="2020-05-21T00:00:00"/>
    <x v="2"/>
    <n v="21"/>
    <n v="2335"/>
    <n v="2126"/>
    <n v="3810394.5"/>
    <x v="3"/>
    <n v="181447.35714285713"/>
    <s v="43972Казань"/>
  </r>
  <r>
    <d v="2020-05-21T00:00:00"/>
    <x v="3"/>
    <n v="21"/>
    <n v="1787"/>
    <n v="1626"/>
    <n v="2744382"/>
    <x v="3"/>
    <n v="130684.85714285714"/>
    <s v="43972Кемерово"/>
  </r>
  <r>
    <d v="2020-05-21T00:00:00"/>
    <x v="4"/>
    <n v="19"/>
    <n v="1650"/>
    <n v="1505"/>
    <n v="2198935.5"/>
    <x v="3"/>
    <n v="115733.44736842105"/>
    <s v="43972Краснодар"/>
  </r>
  <r>
    <d v="2020-05-21T00:00:00"/>
    <x v="5"/>
    <n v="54"/>
    <n v="13240"/>
    <n v="12360"/>
    <n v="21042673.5"/>
    <x v="3"/>
    <n v="389679.13888888888"/>
    <s v="43972Москва Восток"/>
  </r>
  <r>
    <d v="2020-05-21T00:00:00"/>
    <x v="6"/>
    <n v="60"/>
    <n v="14005"/>
    <n v="13002"/>
    <n v="22253295"/>
    <x v="3"/>
    <n v="370888.25"/>
    <s v="43972Москва Запад"/>
  </r>
  <r>
    <d v="2020-05-21T00:00:00"/>
    <x v="7"/>
    <n v="19"/>
    <n v="1949"/>
    <n v="1724"/>
    <n v="2853181.5"/>
    <x v="3"/>
    <n v="150167.44736842104"/>
    <s v="43972Нижний Новгород"/>
  </r>
  <r>
    <d v="2020-05-21T00:00:00"/>
    <x v="8"/>
    <n v="18"/>
    <n v="888"/>
    <n v="786"/>
    <n v="1172574"/>
    <x v="3"/>
    <n v="65143"/>
    <s v="43972Новосибирск"/>
  </r>
  <r>
    <d v="2020-05-21T00:00:00"/>
    <x v="9"/>
    <n v="17"/>
    <n v="1045"/>
    <n v="930"/>
    <n v="1380751.5"/>
    <x v="3"/>
    <n v="81220.676470588238"/>
    <s v="43972Пермь"/>
  </r>
  <r>
    <d v="2020-05-21T00:00:00"/>
    <x v="13"/>
    <n v="15"/>
    <n v="749"/>
    <n v="652"/>
    <n v="1103623.5"/>
    <x v="3"/>
    <n v="73574.899999999994"/>
    <s v="43972Ростов-на-Дону"/>
  </r>
  <r>
    <d v="2020-05-21T00:00:00"/>
    <x v="10"/>
    <n v="125"/>
    <n v="20911"/>
    <n v="19358"/>
    <n v="37902156.57"/>
    <x v="3"/>
    <n v="303217.25255999999"/>
    <s v="43972Санкт-Петербург Север"/>
  </r>
  <r>
    <d v="2020-05-21T00:00:00"/>
    <x v="11"/>
    <n v="129"/>
    <n v="16373"/>
    <n v="15223"/>
    <n v="27852900"/>
    <x v="3"/>
    <n v="215913.95348837209"/>
    <s v="43972Санкт-Петербург Юг"/>
  </r>
  <r>
    <d v="2020-05-21T00:00:00"/>
    <x v="12"/>
    <n v="10"/>
    <n v="677"/>
    <n v="591"/>
    <n v="935523"/>
    <x v="3"/>
    <n v="93552.3"/>
    <s v="43972Тольятти"/>
  </r>
  <r>
    <d v="2020-05-22T00:00:00"/>
    <x v="0"/>
    <n v="36"/>
    <n v="4857"/>
    <n v="4456"/>
    <n v="5943489"/>
    <x v="3"/>
    <n v="165096.91666666666"/>
    <s v="43973Волгоград"/>
  </r>
  <r>
    <d v="2020-05-22T00:00:00"/>
    <x v="1"/>
    <n v="31"/>
    <n v="5965"/>
    <n v="5533"/>
    <n v="7728465"/>
    <x v="3"/>
    <n v="249305.32258064515"/>
    <s v="43973Екатеринбург"/>
  </r>
  <r>
    <d v="2020-05-22T00:00:00"/>
    <x v="2"/>
    <n v="21"/>
    <n v="2861"/>
    <n v="2612"/>
    <n v="4840833"/>
    <x v="3"/>
    <n v="230515.85714285713"/>
    <s v="43973Казань"/>
  </r>
  <r>
    <d v="2020-05-22T00:00:00"/>
    <x v="3"/>
    <n v="21"/>
    <n v="2046"/>
    <n v="1853"/>
    <n v="3091069.5"/>
    <x v="3"/>
    <n v="147193.78571428571"/>
    <s v="43973Кемерово"/>
  </r>
  <r>
    <d v="2020-05-22T00:00:00"/>
    <x v="4"/>
    <n v="19"/>
    <n v="1859"/>
    <n v="1697"/>
    <n v="2540715"/>
    <x v="3"/>
    <n v="133721.84210526315"/>
    <s v="43973Краснодар"/>
  </r>
  <r>
    <d v="2020-05-22T00:00:00"/>
    <x v="5"/>
    <n v="54"/>
    <n v="13014"/>
    <n v="12095"/>
    <n v="20812585.5"/>
    <x v="3"/>
    <n v="385418.25"/>
    <s v="43973Москва Восток"/>
  </r>
  <r>
    <d v="2020-05-22T00:00:00"/>
    <x v="6"/>
    <n v="60"/>
    <n v="14050"/>
    <n v="13027"/>
    <n v="22380772.5"/>
    <x v="3"/>
    <n v="373012.875"/>
    <s v="43973Москва Запад"/>
  </r>
  <r>
    <d v="2020-05-22T00:00:00"/>
    <x v="7"/>
    <n v="20"/>
    <n v="2306"/>
    <n v="2054"/>
    <n v="3414180"/>
    <x v="3"/>
    <n v="170709"/>
    <s v="43973Нижний Новгород"/>
  </r>
  <r>
    <d v="2020-05-22T00:00:00"/>
    <x v="8"/>
    <n v="18"/>
    <n v="985"/>
    <n v="861"/>
    <n v="1398771"/>
    <x v="3"/>
    <n v="77709.5"/>
    <s v="43973Новосибирск"/>
  </r>
  <r>
    <d v="2020-05-22T00:00:00"/>
    <x v="9"/>
    <n v="17"/>
    <n v="1268"/>
    <n v="1129"/>
    <n v="1774329"/>
    <x v="3"/>
    <n v="104372.29411764706"/>
    <s v="43973Пермь"/>
  </r>
  <r>
    <d v="2020-05-22T00:00:00"/>
    <x v="13"/>
    <n v="15"/>
    <n v="903"/>
    <n v="792"/>
    <n v="1411909.5"/>
    <x v="3"/>
    <n v="94127.3"/>
    <s v="43973Ростов-на-Дону"/>
  </r>
  <r>
    <d v="2020-05-22T00:00:00"/>
    <x v="10"/>
    <n v="125"/>
    <n v="21427"/>
    <n v="19799"/>
    <n v="39498373.5"/>
    <x v="3"/>
    <n v="315986.98800000001"/>
    <s v="43973Санкт-Петербург Север"/>
  </r>
  <r>
    <d v="2020-05-22T00:00:00"/>
    <x v="11"/>
    <n v="129"/>
    <n v="17088"/>
    <n v="15804"/>
    <n v="29465769"/>
    <x v="3"/>
    <n v="228416.81395348837"/>
    <s v="43973Санкт-Петербург Юг"/>
  </r>
  <r>
    <d v="2020-05-22T00:00:00"/>
    <x v="12"/>
    <n v="10"/>
    <n v="965"/>
    <n v="861"/>
    <n v="1455049.5"/>
    <x v="3"/>
    <n v="145504.95000000001"/>
    <s v="43973Тольятти"/>
  </r>
  <r>
    <d v="2020-05-23T00:00:00"/>
    <x v="0"/>
    <n v="36"/>
    <n v="5651"/>
    <n v="5212"/>
    <n v="7173117"/>
    <x v="3"/>
    <n v="199253.25"/>
    <s v="43974Волгоград"/>
  </r>
  <r>
    <d v="2020-05-23T00:00:00"/>
    <x v="1"/>
    <n v="31"/>
    <n v="6276"/>
    <n v="5801"/>
    <n v="8089143"/>
    <x v="3"/>
    <n v="260940.09677419355"/>
    <s v="43974Екатеринбург"/>
  </r>
  <r>
    <d v="2020-05-23T00:00:00"/>
    <x v="2"/>
    <n v="21"/>
    <n v="2460"/>
    <n v="2226"/>
    <n v="3883215"/>
    <x v="3"/>
    <n v="184915"/>
    <s v="43974Казань"/>
  </r>
  <r>
    <d v="2020-05-23T00:00:00"/>
    <x v="3"/>
    <n v="21"/>
    <n v="2340"/>
    <n v="2146"/>
    <n v="3628726.5"/>
    <x v="3"/>
    <n v="172796.5"/>
    <s v="43974Кемерово"/>
  </r>
  <r>
    <d v="2020-05-23T00:00:00"/>
    <x v="4"/>
    <n v="19"/>
    <n v="2195"/>
    <n v="1999"/>
    <n v="3089140.5"/>
    <x v="3"/>
    <n v="162586.34210526315"/>
    <s v="43974Краснодар"/>
  </r>
  <r>
    <d v="2020-05-23T00:00:00"/>
    <x v="5"/>
    <n v="54"/>
    <n v="16221"/>
    <n v="15065"/>
    <n v="26806626"/>
    <x v="3"/>
    <n v="496419"/>
    <s v="43974Москва Восток"/>
  </r>
  <r>
    <d v="2020-05-23T00:00:00"/>
    <x v="6"/>
    <n v="60"/>
    <n v="17295"/>
    <n v="16010"/>
    <n v="28590910.5"/>
    <x v="3"/>
    <n v="476515.17499999999"/>
    <s v="43974Москва Запад"/>
  </r>
  <r>
    <d v="2020-05-23T00:00:00"/>
    <x v="7"/>
    <n v="20"/>
    <n v="2266"/>
    <n v="1993"/>
    <n v="3385372.5"/>
    <x v="3"/>
    <n v="169268.625"/>
    <s v="43974Нижний Новгород"/>
  </r>
  <r>
    <d v="2020-05-23T00:00:00"/>
    <x v="8"/>
    <n v="18"/>
    <n v="1031"/>
    <n v="918"/>
    <n v="1457391"/>
    <x v="3"/>
    <n v="80966.166666666672"/>
    <s v="43974Новосибирск"/>
  </r>
  <r>
    <d v="2020-05-23T00:00:00"/>
    <x v="9"/>
    <n v="17"/>
    <n v="1294"/>
    <n v="1155"/>
    <n v="1854001.5"/>
    <x v="3"/>
    <n v="109058.91176470589"/>
    <s v="43974Пермь"/>
  </r>
  <r>
    <d v="2020-05-23T00:00:00"/>
    <x v="13"/>
    <n v="15"/>
    <n v="840"/>
    <n v="725"/>
    <n v="1315075.5"/>
    <x v="3"/>
    <n v="87671.7"/>
    <s v="43974Ростов-на-Дону"/>
  </r>
  <r>
    <d v="2020-05-23T00:00:00"/>
    <x v="10"/>
    <n v="125"/>
    <n v="24574"/>
    <n v="22609"/>
    <n v="46408080"/>
    <x v="3"/>
    <n v="371264.64"/>
    <s v="43974Санкт-Петербург Север"/>
  </r>
  <r>
    <d v="2020-05-23T00:00:00"/>
    <x v="11"/>
    <n v="129"/>
    <n v="19856"/>
    <n v="18325"/>
    <n v="35103926.711549997"/>
    <x v="3"/>
    <n v="272123.46288023255"/>
    <s v="43974Санкт-Петербург Юг"/>
  </r>
  <r>
    <d v="2020-05-23T00:00:00"/>
    <x v="12"/>
    <n v="10"/>
    <n v="828"/>
    <n v="734"/>
    <n v="1241383.5"/>
    <x v="3"/>
    <n v="124138.35"/>
    <s v="43974Тольятти"/>
  </r>
  <r>
    <d v="2020-05-24T00:00:00"/>
    <x v="0"/>
    <n v="36"/>
    <n v="4915"/>
    <n v="4562"/>
    <n v="6098236.5"/>
    <x v="3"/>
    <n v="169395.45833333334"/>
    <s v="43975Волгоград"/>
  </r>
  <r>
    <d v="2020-05-24T00:00:00"/>
    <x v="1"/>
    <n v="31"/>
    <n v="5035"/>
    <n v="4683"/>
    <n v="6451032"/>
    <x v="3"/>
    <n v="208097.80645161291"/>
    <s v="43975Екатеринбург"/>
  </r>
  <r>
    <d v="2020-05-24T00:00:00"/>
    <x v="2"/>
    <n v="21"/>
    <n v="2254"/>
    <n v="2061"/>
    <n v="3449302.5"/>
    <x v="3"/>
    <n v="164252.5"/>
    <s v="43975Казань"/>
  </r>
  <r>
    <d v="2020-05-24T00:00:00"/>
    <x v="3"/>
    <n v="20"/>
    <n v="1999"/>
    <n v="1829"/>
    <n v="2924746.5"/>
    <x v="3"/>
    <n v="146237.32500000001"/>
    <s v="43975Кемерово"/>
  </r>
  <r>
    <d v="2020-05-24T00:00:00"/>
    <x v="4"/>
    <n v="19"/>
    <n v="1868"/>
    <n v="1706"/>
    <n v="2526909"/>
    <x v="3"/>
    <n v="132995.21052631579"/>
    <s v="43975Краснодар"/>
  </r>
  <r>
    <d v="2020-05-24T00:00:00"/>
    <x v="5"/>
    <n v="54"/>
    <n v="12211"/>
    <n v="11427"/>
    <n v="19071117"/>
    <x v="3"/>
    <n v="353168.83333333331"/>
    <s v="43975Москва Восток"/>
  </r>
  <r>
    <d v="2020-05-24T00:00:00"/>
    <x v="6"/>
    <n v="60"/>
    <n v="12822"/>
    <n v="11916"/>
    <n v="19959801"/>
    <x v="3"/>
    <n v="332663.34999999998"/>
    <s v="43975Москва Запад"/>
  </r>
  <r>
    <d v="2020-05-24T00:00:00"/>
    <x v="7"/>
    <n v="20"/>
    <n v="2015"/>
    <n v="1803"/>
    <n v="2915533.5"/>
    <x v="3"/>
    <n v="145776.67499999999"/>
    <s v="43975Нижний Новгород"/>
  </r>
  <r>
    <d v="2020-05-24T00:00:00"/>
    <x v="8"/>
    <n v="18"/>
    <n v="1006"/>
    <n v="904"/>
    <n v="1386262.5"/>
    <x v="3"/>
    <n v="77014.583333333328"/>
    <s v="43975Новосибирск"/>
  </r>
  <r>
    <d v="2020-05-24T00:00:00"/>
    <x v="9"/>
    <n v="17"/>
    <n v="1128"/>
    <n v="1001"/>
    <n v="1548099"/>
    <x v="3"/>
    <n v="91064.647058823524"/>
    <s v="43975Пермь"/>
  </r>
  <r>
    <d v="2020-05-24T00:00:00"/>
    <x v="13"/>
    <n v="15"/>
    <n v="779"/>
    <n v="673"/>
    <n v="1184865"/>
    <x v="3"/>
    <n v="78991"/>
    <s v="43975Ростов-на-Дону"/>
  </r>
  <r>
    <d v="2020-05-24T00:00:00"/>
    <x v="10"/>
    <n v="125"/>
    <n v="21004"/>
    <n v="19556"/>
    <n v="38191381.5"/>
    <x v="3"/>
    <n v="305531.05200000003"/>
    <s v="43975Санкт-Петербург Север"/>
  </r>
  <r>
    <d v="2020-05-24T00:00:00"/>
    <x v="11"/>
    <n v="129"/>
    <n v="16432"/>
    <n v="15345"/>
    <n v="28188534"/>
    <x v="3"/>
    <n v="218515.76744186046"/>
    <s v="43975Санкт-Петербург Юг"/>
  </r>
  <r>
    <d v="2020-05-24T00:00:00"/>
    <x v="12"/>
    <n v="10"/>
    <n v="639"/>
    <n v="557"/>
    <n v="828984"/>
    <x v="3"/>
    <n v="82898.399999999994"/>
    <s v="43975Тольятти"/>
  </r>
  <r>
    <d v="2020-05-25T00:00:00"/>
    <x v="0"/>
    <n v="36"/>
    <n v="4641"/>
    <n v="4274"/>
    <n v="5704650"/>
    <x v="4"/>
    <n v="158462.5"/>
    <s v="43976Волгоград"/>
  </r>
  <r>
    <d v="2020-05-25T00:00:00"/>
    <x v="1"/>
    <n v="31"/>
    <n v="5210"/>
    <n v="4841"/>
    <n v="6645603"/>
    <x v="4"/>
    <n v="214374.29032258064"/>
    <s v="43976Екатеринбург"/>
  </r>
  <r>
    <d v="2020-05-25T00:00:00"/>
    <x v="2"/>
    <n v="21"/>
    <n v="2330"/>
    <n v="2142"/>
    <n v="3561655.5"/>
    <x v="4"/>
    <n v="169602.64285714287"/>
    <s v="43976Казань"/>
  </r>
  <r>
    <d v="2020-05-25T00:00:00"/>
    <x v="3"/>
    <n v="20"/>
    <n v="2087"/>
    <n v="1914"/>
    <n v="3176580"/>
    <x v="4"/>
    <n v="158829"/>
    <s v="43976Кемерово"/>
  </r>
  <r>
    <d v="2020-05-25T00:00:00"/>
    <x v="4"/>
    <n v="20"/>
    <n v="1899"/>
    <n v="1738"/>
    <n v="2512803"/>
    <x v="4"/>
    <n v="125640.15"/>
    <s v="43976Краснодар"/>
  </r>
  <r>
    <d v="2020-05-25T00:00:00"/>
    <x v="5"/>
    <n v="54"/>
    <n v="12336"/>
    <n v="11519"/>
    <n v="19806927"/>
    <x v="4"/>
    <n v="366794.94444444444"/>
    <s v="43976Москва Восток"/>
  </r>
  <r>
    <d v="2020-05-25T00:00:00"/>
    <x v="6"/>
    <n v="59"/>
    <n v="12983"/>
    <n v="12056"/>
    <n v="20582743.5"/>
    <x v="4"/>
    <n v="348860.05932203389"/>
    <s v="43976Москва Запад"/>
  </r>
  <r>
    <d v="2020-05-25T00:00:00"/>
    <x v="7"/>
    <n v="20"/>
    <n v="2011"/>
    <n v="1791"/>
    <n v="2865727.5"/>
    <x v="4"/>
    <n v="143286.375"/>
    <s v="43976Нижний Новгород"/>
  </r>
  <r>
    <d v="2020-05-25T00:00:00"/>
    <x v="8"/>
    <n v="18"/>
    <n v="989"/>
    <n v="887"/>
    <n v="1326705"/>
    <x v="4"/>
    <n v="73705.833333333328"/>
    <s v="43976Новосибирск"/>
  </r>
  <r>
    <d v="2020-05-25T00:00:00"/>
    <x v="9"/>
    <n v="17"/>
    <n v="1142"/>
    <n v="1020"/>
    <n v="1507867.5"/>
    <x v="4"/>
    <n v="88698.088235294112"/>
    <s v="43976Пермь"/>
  </r>
  <r>
    <d v="2020-05-25T00:00:00"/>
    <x v="13"/>
    <n v="15"/>
    <n v="835"/>
    <n v="736"/>
    <n v="1230687"/>
    <x v="4"/>
    <n v="82045.8"/>
    <s v="43976Ростов-на-Дону"/>
  </r>
  <r>
    <d v="2020-05-25T00:00:00"/>
    <x v="10"/>
    <n v="124"/>
    <n v="20358"/>
    <n v="18890"/>
    <n v="36883428"/>
    <x v="4"/>
    <n v="297447"/>
    <s v="43976Санкт-Петербург Север"/>
  </r>
  <r>
    <d v="2020-05-25T00:00:00"/>
    <x v="11"/>
    <n v="129"/>
    <n v="15822"/>
    <n v="14753"/>
    <n v="27165913.5"/>
    <x v="4"/>
    <n v="210588.47674418605"/>
    <s v="43976Санкт-Петербург Юг"/>
  </r>
  <r>
    <d v="2020-05-25T00:00:00"/>
    <x v="12"/>
    <n v="10"/>
    <n v="739"/>
    <n v="642"/>
    <n v="1030440"/>
    <x v="4"/>
    <n v="103044"/>
    <s v="43976Тольятти"/>
  </r>
  <r>
    <d v="2020-05-26T00:00:00"/>
    <x v="0"/>
    <n v="36"/>
    <n v="4770"/>
    <n v="4424"/>
    <n v="5864989.5"/>
    <x v="4"/>
    <n v="162916.375"/>
    <s v="43977Волгоград"/>
  </r>
  <r>
    <d v="2020-05-26T00:00:00"/>
    <x v="1"/>
    <n v="31"/>
    <n v="5493"/>
    <n v="5119"/>
    <n v="6676459.5"/>
    <x v="4"/>
    <n v="215369.66129032258"/>
    <s v="43977Екатеринбург"/>
  </r>
  <r>
    <d v="2020-05-26T00:00:00"/>
    <x v="2"/>
    <n v="21"/>
    <n v="2418"/>
    <n v="2215"/>
    <n v="3700311"/>
    <x v="4"/>
    <n v="176205.28571428571"/>
    <s v="43977Казань"/>
  </r>
  <r>
    <d v="2020-05-26T00:00:00"/>
    <x v="3"/>
    <n v="20"/>
    <n v="2044"/>
    <n v="1863"/>
    <n v="2970330"/>
    <x v="4"/>
    <n v="148516.5"/>
    <s v="43977Кемерово"/>
  </r>
  <r>
    <d v="2020-05-26T00:00:00"/>
    <x v="4"/>
    <n v="20"/>
    <n v="1814"/>
    <n v="1655"/>
    <n v="2410803"/>
    <x v="4"/>
    <n v="120540.15"/>
    <s v="43977Краснодар"/>
  </r>
  <r>
    <d v="2020-05-26T00:00:00"/>
    <x v="5"/>
    <n v="54"/>
    <n v="14482"/>
    <n v="13510"/>
    <n v="23856345"/>
    <x v="4"/>
    <n v="441784.16666666669"/>
    <s v="43977Москва Восток"/>
  </r>
  <r>
    <d v="2020-05-26T00:00:00"/>
    <x v="6"/>
    <n v="59"/>
    <n v="15369"/>
    <n v="14299"/>
    <n v="25163431.5"/>
    <x v="4"/>
    <n v="426498.83898305084"/>
    <s v="43977Москва Запад"/>
  </r>
  <r>
    <d v="2020-05-26T00:00:00"/>
    <x v="7"/>
    <n v="20"/>
    <n v="2036"/>
    <n v="1790"/>
    <n v="2907411"/>
    <x v="4"/>
    <n v="145370.54999999999"/>
    <s v="43977Нижний Новгород"/>
  </r>
  <r>
    <d v="2020-05-26T00:00:00"/>
    <x v="8"/>
    <n v="18"/>
    <n v="914"/>
    <n v="804"/>
    <n v="1210456.5"/>
    <x v="4"/>
    <n v="67247.583333333328"/>
    <s v="43977Новосибирск"/>
  </r>
  <r>
    <d v="2020-05-26T00:00:00"/>
    <x v="9"/>
    <n v="17"/>
    <n v="1140"/>
    <n v="1016"/>
    <n v="1489132.5"/>
    <x v="4"/>
    <n v="87596.029411764699"/>
    <s v="43977Пермь"/>
  </r>
  <r>
    <d v="2020-05-26T00:00:00"/>
    <x v="13"/>
    <n v="15"/>
    <n v="812"/>
    <n v="711"/>
    <n v="1152054"/>
    <x v="4"/>
    <n v="76803.600000000006"/>
    <s v="43977Ростов-на-Дону"/>
  </r>
  <r>
    <d v="2020-05-26T00:00:00"/>
    <x v="10"/>
    <n v="124"/>
    <n v="21153"/>
    <n v="19673"/>
    <n v="38365960.5"/>
    <x v="4"/>
    <n v="309402.90725806454"/>
    <s v="43977Санкт-Петербург Север"/>
  </r>
  <r>
    <d v="2020-05-26T00:00:00"/>
    <x v="11"/>
    <n v="129"/>
    <n v="16459"/>
    <n v="15355"/>
    <n v="27872617.898850001"/>
    <x v="4"/>
    <n v="216066.80541744188"/>
    <s v="43977Санкт-Петербург Юг"/>
  </r>
  <r>
    <d v="2020-05-26T00:00:00"/>
    <x v="12"/>
    <n v="10"/>
    <n v="692"/>
    <n v="601"/>
    <n v="983109"/>
    <x v="4"/>
    <n v="98310.9"/>
    <s v="43977Тольятти"/>
  </r>
  <r>
    <d v="2020-05-26T00:00:00"/>
    <x v="14"/>
    <n v="7"/>
    <n v="577"/>
    <n v="389"/>
    <n v="833815.5"/>
    <x v="4"/>
    <n v="119116.5"/>
    <s v="43977Тюмень"/>
  </r>
  <r>
    <d v="2020-05-27T00:00:00"/>
    <x v="0"/>
    <n v="36"/>
    <n v="4951"/>
    <n v="4584"/>
    <n v="5985894"/>
    <x v="4"/>
    <n v="166274.83333333334"/>
    <s v="43978Волгоград"/>
  </r>
  <r>
    <d v="2020-05-27T00:00:00"/>
    <x v="1"/>
    <n v="31"/>
    <n v="5330"/>
    <n v="4977"/>
    <n v="6701083.5"/>
    <x v="4"/>
    <n v="216163.98387096773"/>
    <s v="43978Екатеринбург"/>
  </r>
  <r>
    <d v="2020-05-27T00:00:00"/>
    <x v="2"/>
    <n v="21"/>
    <n v="2430"/>
    <n v="2216"/>
    <n v="3780852"/>
    <x v="4"/>
    <n v="180040.57142857142"/>
    <s v="43978Казань"/>
  </r>
  <r>
    <d v="2020-05-27T00:00:00"/>
    <x v="3"/>
    <n v="20"/>
    <n v="2079"/>
    <n v="1893"/>
    <n v="3015751.5"/>
    <x v="4"/>
    <n v="150787.57500000001"/>
    <s v="43978Кемерово"/>
  </r>
  <r>
    <d v="2020-05-27T00:00:00"/>
    <x v="4"/>
    <n v="20"/>
    <n v="1873"/>
    <n v="1715"/>
    <n v="2458555.5"/>
    <x v="4"/>
    <n v="122927.77499999999"/>
    <s v="43978Краснодар"/>
  </r>
  <r>
    <d v="2020-05-27T00:00:00"/>
    <x v="5"/>
    <n v="54"/>
    <n v="13091"/>
    <n v="12216"/>
    <n v="20953324.5"/>
    <x v="4"/>
    <n v="388024.52777777775"/>
    <s v="43978Москва Восток"/>
  </r>
  <r>
    <d v="2020-05-27T00:00:00"/>
    <x v="6"/>
    <n v="59"/>
    <n v="13942"/>
    <n v="12986"/>
    <n v="22342300.5"/>
    <x v="4"/>
    <n v="378683.05932203389"/>
    <s v="43978Москва Запад"/>
  </r>
  <r>
    <d v="2020-05-27T00:00:00"/>
    <x v="7"/>
    <n v="20"/>
    <n v="2079"/>
    <n v="1856"/>
    <n v="2924133"/>
    <x v="4"/>
    <n v="146206.65"/>
    <s v="43978Нижний Новгород"/>
  </r>
  <r>
    <d v="2020-05-27T00:00:00"/>
    <x v="8"/>
    <n v="18"/>
    <n v="962"/>
    <n v="859"/>
    <n v="1350199.5"/>
    <x v="4"/>
    <n v="75011.083333333328"/>
    <s v="43978Новосибирск"/>
  </r>
  <r>
    <d v="2020-05-27T00:00:00"/>
    <x v="9"/>
    <n v="17"/>
    <n v="1203"/>
    <n v="1077"/>
    <n v="1603084.5"/>
    <x v="4"/>
    <n v="94299.088235294112"/>
    <s v="43978Пермь"/>
  </r>
  <r>
    <d v="2020-05-27T00:00:00"/>
    <x v="13"/>
    <n v="15"/>
    <n v="809"/>
    <n v="702"/>
    <n v="1211457"/>
    <x v="4"/>
    <n v="80763.8"/>
    <s v="43978Ростов-на-Дону"/>
  </r>
  <r>
    <d v="2020-05-27T00:00:00"/>
    <x v="10"/>
    <n v="124"/>
    <n v="21384"/>
    <n v="19897"/>
    <n v="39034861.5"/>
    <x v="4"/>
    <n v="314797.2701612903"/>
    <s v="43978Санкт-Петербург Север"/>
  </r>
  <r>
    <d v="2020-05-27T00:00:00"/>
    <x v="11"/>
    <n v="129"/>
    <n v="17115"/>
    <n v="15962"/>
    <n v="29256993"/>
    <x v="4"/>
    <n v="226798.39534883722"/>
    <s v="43978Санкт-Петербург Юг"/>
  </r>
  <r>
    <d v="2020-05-27T00:00:00"/>
    <x v="12"/>
    <n v="10"/>
    <n v="757"/>
    <n v="660"/>
    <n v="1054798.5"/>
    <x v="4"/>
    <n v="105479.85"/>
    <s v="43978Тольятти"/>
  </r>
  <r>
    <d v="2020-05-27T00:00:00"/>
    <x v="14"/>
    <n v="7"/>
    <n v="409"/>
    <n v="329"/>
    <n v="687684"/>
    <x v="4"/>
    <n v="98240.571428571435"/>
    <s v="43978Тюмень"/>
  </r>
  <r>
    <d v="2020-05-28T00:00:00"/>
    <x v="0"/>
    <n v="37"/>
    <n v="4840"/>
    <n v="4475"/>
    <n v="6101931"/>
    <x v="4"/>
    <n v="164917.05405405405"/>
    <s v="43979Волгоград"/>
  </r>
  <r>
    <d v="2020-05-28T00:00:00"/>
    <x v="1"/>
    <n v="31"/>
    <n v="5355"/>
    <n v="4969"/>
    <n v="6641569.5"/>
    <x v="4"/>
    <n v="214244.17741935485"/>
    <s v="43979Екатеринбург"/>
  </r>
  <r>
    <d v="2020-05-28T00:00:00"/>
    <x v="2"/>
    <n v="22"/>
    <n v="2454"/>
    <n v="2239"/>
    <n v="3893680.5"/>
    <x v="4"/>
    <n v="176985.47727272726"/>
    <s v="43979Казань"/>
  </r>
  <r>
    <d v="2020-05-28T00:00:00"/>
    <x v="3"/>
    <n v="20"/>
    <n v="1886"/>
    <n v="1736"/>
    <n v="2827773"/>
    <x v="4"/>
    <n v="141388.65"/>
    <s v="43979Кемерово"/>
  </r>
  <r>
    <d v="2020-05-28T00:00:00"/>
    <x v="4"/>
    <n v="20"/>
    <n v="1875"/>
    <n v="1701"/>
    <n v="2559211.5"/>
    <x v="4"/>
    <n v="127960.575"/>
    <s v="43979Краснодар"/>
  </r>
  <r>
    <d v="2020-05-28T00:00:00"/>
    <x v="5"/>
    <n v="54"/>
    <n v="12409"/>
    <n v="11582"/>
    <n v="19549036.5"/>
    <x v="4"/>
    <n v="362019.19444444444"/>
    <s v="43979Москва Восток"/>
  </r>
  <r>
    <d v="2020-05-28T00:00:00"/>
    <x v="6"/>
    <n v="60"/>
    <n v="12854"/>
    <n v="11954"/>
    <n v="20535733.5"/>
    <x v="4"/>
    <n v="342262.22499999998"/>
    <s v="43979Москва Запад"/>
  </r>
  <r>
    <d v="2020-05-28T00:00:00"/>
    <x v="7"/>
    <n v="20"/>
    <n v="2088"/>
    <n v="1848"/>
    <n v="3004213.5"/>
    <x v="4"/>
    <n v="150210.67499999999"/>
    <s v="43979Нижний Новгород"/>
  </r>
  <r>
    <d v="2020-05-28T00:00:00"/>
    <x v="8"/>
    <n v="18"/>
    <n v="1020"/>
    <n v="911"/>
    <n v="1387443"/>
    <x v="4"/>
    <n v="77080.166666666672"/>
    <s v="43979Новосибирск"/>
  </r>
  <r>
    <d v="2020-05-28T00:00:00"/>
    <x v="9"/>
    <n v="17"/>
    <n v="1097"/>
    <n v="968"/>
    <n v="1487928"/>
    <x v="4"/>
    <n v="87525.176470588238"/>
    <s v="43979Пермь"/>
  </r>
  <r>
    <d v="2020-05-28T00:00:00"/>
    <x v="13"/>
    <n v="16"/>
    <n v="876"/>
    <n v="762"/>
    <n v="1239747"/>
    <x v="4"/>
    <n v="77484.1875"/>
    <s v="43979Ростов-на-Дону"/>
  </r>
  <r>
    <d v="2020-05-28T00:00:00"/>
    <x v="15"/>
    <n v="15"/>
    <n v="464"/>
    <n v="390"/>
    <n v="643944"/>
    <x v="4"/>
    <n v="42929.599999999999"/>
    <s v="43979Самара"/>
  </r>
  <r>
    <d v="2020-05-28T00:00:00"/>
    <x v="10"/>
    <n v="124"/>
    <n v="20868"/>
    <n v="19342"/>
    <n v="37947688.5"/>
    <x v="4"/>
    <n v="306029.74596774194"/>
    <s v="43979Санкт-Петербург Север"/>
  </r>
  <r>
    <d v="2020-05-28T00:00:00"/>
    <x v="11"/>
    <n v="129"/>
    <n v="16453"/>
    <n v="15289"/>
    <n v="28151004.75"/>
    <x v="4"/>
    <n v="218224.84302325582"/>
    <s v="43979Санкт-Петербург Юг"/>
  </r>
  <r>
    <d v="2020-05-28T00:00:00"/>
    <x v="12"/>
    <n v="10"/>
    <n v="791"/>
    <n v="697"/>
    <n v="1114552.5"/>
    <x v="4"/>
    <n v="111455.25"/>
    <s v="43979Тольятти"/>
  </r>
  <r>
    <d v="2020-05-28T00:00:00"/>
    <x v="14"/>
    <n v="7"/>
    <n v="420"/>
    <n v="347"/>
    <n v="694669.5"/>
    <x v="4"/>
    <n v="99238.5"/>
    <s v="43979Тюмень"/>
  </r>
  <r>
    <d v="2020-05-29T00:00:00"/>
    <x v="0"/>
    <n v="37"/>
    <n v="5672"/>
    <n v="5198"/>
    <n v="7228395"/>
    <x v="4"/>
    <n v="195362.02702702704"/>
    <s v="43980Волгоград"/>
  </r>
  <r>
    <d v="2020-05-29T00:00:00"/>
    <x v="1"/>
    <n v="31"/>
    <n v="5751"/>
    <n v="5319"/>
    <n v="7387116"/>
    <x v="4"/>
    <n v="238294.06451612903"/>
    <s v="43980Екатеринбург"/>
  </r>
  <r>
    <d v="2020-05-29T00:00:00"/>
    <x v="2"/>
    <n v="22"/>
    <n v="2597"/>
    <n v="2379"/>
    <n v="4108596"/>
    <x v="4"/>
    <n v="186754.36363636365"/>
    <s v="43980Казань"/>
  </r>
  <r>
    <d v="2020-05-29T00:00:00"/>
    <x v="3"/>
    <n v="20"/>
    <n v="2111"/>
    <n v="1917"/>
    <n v="3193167"/>
    <x v="4"/>
    <n v="159658.35"/>
    <s v="43980Кемерово"/>
  </r>
  <r>
    <d v="2020-05-29T00:00:00"/>
    <x v="4"/>
    <n v="20"/>
    <n v="2064"/>
    <n v="1896"/>
    <n v="2854741.5"/>
    <x v="4"/>
    <n v="142737.07500000001"/>
    <s v="43980Краснодар"/>
  </r>
  <r>
    <d v="2020-05-29T00:00:00"/>
    <x v="5"/>
    <n v="54"/>
    <n v="14031"/>
    <n v="12943"/>
    <n v="22416151.5"/>
    <x v="4"/>
    <n v="415113.91666666669"/>
    <s v="43980Москва Восток"/>
  </r>
  <r>
    <d v="2020-05-29T00:00:00"/>
    <x v="6"/>
    <n v="59"/>
    <n v="14507"/>
    <n v="13386"/>
    <n v="23120443.5"/>
    <x v="4"/>
    <n v="391871.92372881353"/>
    <s v="43980Москва Запад"/>
  </r>
  <r>
    <d v="2020-05-29T00:00:00"/>
    <x v="7"/>
    <n v="20"/>
    <n v="2249"/>
    <n v="2000"/>
    <n v="3258054"/>
    <x v="4"/>
    <n v="162902.70000000001"/>
    <s v="43980Нижний Новгород"/>
  </r>
  <r>
    <d v="2020-05-29T00:00:00"/>
    <x v="8"/>
    <n v="18"/>
    <n v="1014"/>
    <n v="893"/>
    <n v="1438255.5"/>
    <x v="4"/>
    <n v="79903.083333333328"/>
    <s v="43980Новосибирск"/>
  </r>
  <r>
    <d v="2020-05-29T00:00:00"/>
    <x v="9"/>
    <n v="17"/>
    <n v="1296"/>
    <n v="1153"/>
    <n v="1764669"/>
    <x v="4"/>
    <n v="103804.05882352941"/>
    <s v="43980Пермь"/>
  </r>
  <r>
    <d v="2020-05-29T00:00:00"/>
    <x v="13"/>
    <n v="16"/>
    <n v="981"/>
    <n v="859"/>
    <n v="1549020"/>
    <x v="4"/>
    <n v="96813.75"/>
    <s v="43980Ростов-на-Дону"/>
  </r>
  <r>
    <d v="2020-05-29T00:00:00"/>
    <x v="15"/>
    <n v="15"/>
    <n v="400"/>
    <n v="329"/>
    <n v="651237"/>
    <x v="4"/>
    <n v="43415.8"/>
    <s v="43980Самара"/>
  </r>
  <r>
    <d v="2020-05-29T00:00:00"/>
    <x v="10"/>
    <n v="124"/>
    <n v="25828"/>
    <n v="23974"/>
    <n v="54172029"/>
    <x v="4"/>
    <n v="436871.20161290321"/>
    <s v="43980Санкт-Петербург Север"/>
  </r>
  <r>
    <d v="2020-05-29T00:00:00"/>
    <x v="11"/>
    <n v="129"/>
    <n v="22403"/>
    <n v="20676"/>
    <n v="41767140.105000004"/>
    <x v="4"/>
    <n v="323776.27988372097"/>
    <s v="43980Санкт-Петербург Юг"/>
  </r>
  <r>
    <d v="2020-05-29T00:00:00"/>
    <x v="12"/>
    <n v="10"/>
    <n v="873"/>
    <n v="770"/>
    <n v="1273464"/>
    <x v="4"/>
    <n v="127346.4"/>
    <s v="43980Тольятти"/>
  </r>
  <r>
    <d v="2020-05-29T00:00:00"/>
    <x v="14"/>
    <n v="7"/>
    <n v="491"/>
    <n v="411"/>
    <n v="850840.5"/>
    <x v="4"/>
    <n v="121548.64285714286"/>
    <s v="43980Тюмень"/>
  </r>
  <r>
    <d v="2020-05-30T00:00:00"/>
    <x v="0"/>
    <n v="37"/>
    <n v="6645"/>
    <n v="6122"/>
    <n v="9098386.5"/>
    <x v="4"/>
    <n v="245902.33783783784"/>
    <s v="43981Волгоград"/>
  </r>
  <r>
    <d v="2020-05-30T00:00:00"/>
    <x v="1"/>
    <n v="31"/>
    <n v="6735"/>
    <n v="6264"/>
    <n v="9164707.5"/>
    <x v="4"/>
    <n v="295635.72580645164"/>
    <s v="43981Екатеринбург"/>
  </r>
  <r>
    <d v="2020-05-30T00:00:00"/>
    <x v="2"/>
    <n v="22"/>
    <n v="2793"/>
    <n v="2539"/>
    <n v="4456441.5"/>
    <x v="4"/>
    <n v="202565.52272727274"/>
    <s v="43981Казань"/>
  </r>
  <r>
    <d v="2020-05-30T00:00:00"/>
    <x v="3"/>
    <n v="20"/>
    <n v="2597"/>
    <n v="2376"/>
    <n v="3921784.5"/>
    <x v="4"/>
    <n v="196089.22500000001"/>
    <s v="43981Кемерово"/>
  </r>
  <r>
    <d v="2020-05-30T00:00:00"/>
    <x v="4"/>
    <n v="20"/>
    <n v="2174"/>
    <n v="1957"/>
    <n v="3005334"/>
    <x v="4"/>
    <n v="150266.70000000001"/>
    <s v="43981Краснодар"/>
  </r>
  <r>
    <d v="2020-05-30T00:00:00"/>
    <x v="5"/>
    <n v="54"/>
    <n v="14590"/>
    <n v="13551"/>
    <n v="24151980"/>
    <x v="4"/>
    <n v="447258.88888888888"/>
    <s v="43981Москва Восток"/>
  </r>
  <r>
    <d v="2020-05-30T00:00:00"/>
    <x v="6"/>
    <n v="59"/>
    <n v="15030"/>
    <n v="13956"/>
    <n v="24527245.5"/>
    <x v="4"/>
    <n v="415716.0254237288"/>
    <s v="43981Москва Запад"/>
  </r>
  <r>
    <d v="2020-05-30T00:00:00"/>
    <x v="7"/>
    <n v="20"/>
    <n v="2451"/>
    <n v="2178"/>
    <n v="3654166.5"/>
    <x v="4"/>
    <n v="182708.32500000001"/>
    <s v="43981Нижний Новгород"/>
  </r>
  <r>
    <d v="2020-05-30T00:00:00"/>
    <x v="8"/>
    <n v="18"/>
    <n v="1216"/>
    <n v="1101"/>
    <n v="1773154.5"/>
    <x v="4"/>
    <n v="98508.583333333328"/>
    <s v="43981Новосибирск"/>
  </r>
  <r>
    <d v="2020-05-30T00:00:00"/>
    <x v="9"/>
    <n v="17"/>
    <n v="1697"/>
    <n v="1499"/>
    <n v="2457252"/>
    <x v="4"/>
    <n v="144544.23529411765"/>
    <s v="43981Пермь"/>
  </r>
  <r>
    <d v="2020-05-30T00:00:00"/>
    <x v="13"/>
    <n v="16"/>
    <n v="1048"/>
    <n v="918"/>
    <n v="1609090.5"/>
    <x v="4"/>
    <n v="100568.15625"/>
    <s v="43981Ростов-на-Дону"/>
  </r>
  <r>
    <d v="2020-05-30T00:00:00"/>
    <x v="15"/>
    <n v="15"/>
    <n v="490"/>
    <n v="409"/>
    <n v="787101"/>
    <x v="4"/>
    <n v="52473.4"/>
    <s v="43981Самара"/>
  </r>
  <r>
    <d v="2020-05-30T00:00:00"/>
    <x v="10"/>
    <n v="124"/>
    <n v="24325"/>
    <n v="22469"/>
    <n v="46370904"/>
    <x v="4"/>
    <n v="373958.90322580643"/>
    <s v="43981Санкт-Петербург Север"/>
  </r>
  <r>
    <d v="2020-05-30T00:00:00"/>
    <x v="11"/>
    <n v="129"/>
    <n v="20243"/>
    <n v="18711"/>
    <n v="35724493.5"/>
    <x v="4"/>
    <n v="276934.0581395349"/>
    <s v="43981Санкт-Петербург Юг"/>
  </r>
  <r>
    <d v="2020-05-30T00:00:00"/>
    <x v="12"/>
    <n v="10"/>
    <n v="865"/>
    <n v="763"/>
    <n v="1260483"/>
    <x v="4"/>
    <n v="126048.3"/>
    <s v="43981Тольятти"/>
  </r>
  <r>
    <d v="2020-05-30T00:00:00"/>
    <x v="14"/>
    <n v="7"/>
    <n v="532"/>
    <n v="449"/>
    <n v="928675.5"/>
    <x v="4"/>
    <n v="132667.92857142858"/>
    <s v="43981Тюмень"/>
  </r>
  <r>
    <d v="2020-05-31T00:00:00"/>
    <x v="0"/>
    <n v="37"/>
    <n v="5215"/>
    <n v="4848"/>
    <n v="6500848.5"/>
    <x v="4"/>
    <n v="175698.60810810811"/>
    <s v="43982Волгоград"/>
  </r>
  <r>
    <d v="2020-05-31T00:00:00"/>
    <x v="1"/>
    <n v="31"/>
    <n v="5760"/>
    <n v="5367"/>
    <n v="7512646.5"/>
    <x v="4"/>
    <n v="242343.43548387097"/>
    <s v="43982Екатеринбург"/>
  </r>
  <r>
    <d v="2020-05-31T00:00:00"/>
    <x v="2"/>
    <n v="23"/>
    <n v="2522"/>
    <n v="2295"/>
    <n v="3994153.5"/>
    <x v="4"/>
    <n v="173658.84782608695"/>
    <s v="43982Казань"/>
  </r>
  <r>
    <d v="2020-05-31T00:00:00"/>
    <x v="3"/>
    <n v="21"/>
    <n v="2271"/>
    <n v="2085"/>
    <n v="3473895"/>
    <x v="4"/>
    <n v="165423.57142857142"/>
    <s v="43982Кемерово"/>
  </r>
  <r>
    <d v="2020-05-31T00:00:00"/>
    <x v="4"/>
    <n v="21"/>
    <n v="2056"/>
    <n v="1879"/>
    <n v="2794324.5"/>
    <x v="4"/>
    <n v="133063.07142857142"/>
    <s v="43982Краснодар"/>
  </r>
  <r>
    <d v="2020-05-31T00:00:00"/>
    <x v="5"/>
    <n v="54"/>
    <n v="13106"/>
    <n v="12164"/>
    <n v="20717248.5"/>
    <x v="4"/>
    <n v="383652.75"/>
    <s v="43982Москва Восток"/>
  </r>
  <r>
    <d v="2020-05-31T00:00:00"/>
    <x v="6"/>
    <n v="59"/>
    <n v="13684"/>
    <n v="12690"/>
    <n v="21585316.5"/>
    <x v="4"/>
    <n v="365852.82203389832"/>
    <s v="43982Москва Запад"/>
  </r>
  <r>
    <d v="2020-05-31T00:00:00"/>
    <x v="7"/>
    <n v="20"/>
    <n v="2060"/>
    <n v="1826"/>
    <n v="2991999"/>
    <x v="4"/>
    <n v="149599.95000000001"/>
    <s v="43982Нижний Новгород"/>
  </r>
  <r>
    <d v="2020-05-31T00:00:00"/>
    <x v="8"/>
    <n v="18"/>
    <n v="1029"/>
    <n v="925"/>
    <n v="1423410"/>
    <x v="4"/>
    <n v="79078.333333333328"/>
    <s v="43982Новосибирск"/>
  </r>
  <r>
    <d v="2020-05-31T00:00:00"/>
    <x v="9"/>
    <n v="17"/>
    <n v="1186"/>
    <n v="1054"/>
    <n v="1592119.5"/>
    <x v="4"/>
    <n v="93654.088235294112"/>
    <s v="43982Пермь"/>
  </r>
  <r>
    <d v="2020-05-31T00:00:00"/>
    <x v="13"/>
    <n v="16"/>
    <n v="917"/>
    <n v="802"/>
    <n v="1336789.5"/>
    <x v="4"/>
    <n v="83549.34375"/>
    <s v="43982Ростов-на-Дону"/>
  </r>
  <r>
    <d v="2020-05-31T00:00:00"/>
    <x v="15"/>
    <n v="15"/>
    <n v="441"/>
    <n v="368"/>
    <n v="623971.5"/>
    <x v="4"/>
    <n v="41598.1"/>
    <s v="43982Самара"/>
  </r>
  <r>
    <d v="2020-05-31T00:00:00"/>
    <x v="10"/>
    <n v="124"/>
    <n v="21392"/>
    <n v="19869"/>
    <n v="39380178"/>
    <x v="4"/>
    <n v="317582.08064516127"/>
    <s v="43982Санкт-Петербург Север"/>
  </r>
  <r>
    <d v="2020-05-31T00:00:00"/>
    <x v="11"/>
    <n v="129"/>
    <n v="17235"/>
    <n v="16052"/>
    <n v="29327766"/>
    <x v="4"/>
    <n v="227347.02325581395"/>
    <s v="43982Санкт-Петербург Юг"/>
  </r>
  <r>
    <d v="2020-05-31T00:00:00"/>
    <x v="12"/>
    <n v="10"/>
    <n v="749"/>
    <n v="655"/>
    <n v="1045515"/>
    <x v="4"/>
    <n v="104551.5"/>
    <s v="43982Тольятти"/>
  </r>
  <r>
    <d v="2020-05-31T00:00:00"/>
    <x v="16"/>
    <n v="9"/>
    <n v="345"/>
    <n v="255"/>
    <n v="493893"/>
    <x v="4"/>
    <n v="54877"/>
    <s v="43982Томск"/>
  </r>
  <r>
    <d v="2020-05-31T00:00:00"/>
    <x v="14"/>
    <n v="7"/>
    <n v="530"/>
    <n v="447"/>
    <n v="866023.5"/>
    <x v="4"/>
    <n v="123717.64285714286"/>
    <s v="43982Тюмень"/>
  </r>
  <r>
    <d v="2020-05-31T00:00:00"/>
    <x v="17"/>
    <n v="6"/>
    <n v="261"/>
    <n v="188"/>
    <n v="468835.5"/>
    <x v="4"/>
    <n v="78139.25"/>
    <s v="43982Уфа"/>
  </r>
  <r>
    <d v="2020-06-01T00:00:00"/>
    <x v="0"/>
    <n v="37"/>
    <n v="4722"/>
    <n v="4352"/>
    <n v="5800290"/>
    <x v="5"/>
    <n v="156764.59459459459"/>
    <s v="43983Волгоград"/>
  </r>
  <r>
    <d v="2020-06-01T00:00:00"/>
    <x v="1"/>
    <n v="31"/>
    <n v="5468"/>
    <n v="5081"/>
    <n v="6829921.5"/>
    <x v="5"/>
    <n v="220320.04838709679"/>
    <s v="43983Екатеринбург"/>
  </r>
  <r>
    <d v="2020-06-01T00:00:00"/>
    <x v="2"/>
    <n v="23"/>
    <n v="2531"/>
    <n v="2296"/>
    <n v="3865251"/>
    <x v="5"/>
    <n v="168054.39130434784"/>
    <s v="43983Казань"/>
  </r>
  <r>
    <d v="2020-06-01T00:00:00"/>
    <x v="3"/>
    <n v="21"/>
    <n v="2025"/>
    <n v="1849"/>
    <n v="2945035.5"/>
    <x v="5"/>
    <n v="140239.78571428571"/>
    <s v="43983Кемерово"/>
  </r>
  <r>
    <d v="2020-06-01T00:00:00"/>
    <x v="4"/>
    <n v="21"/>
    <n v="1879"/>
    <n v="1720"/>
    <n v="2538967.5"/>
    <x v="5"/>
    <n v="120903.21428571429"/>
    <s v="43983Краснодар"/>
  </r>
  <r>
    <d v="2020-06-01T00:00:00"/>
    <x v="5"/>
    <n v="54"/>
    <n v="11864"/>
    <n v="11071"/>
    <n v="18914194.5"/>
    <x v="5"/>
    <n v="350262.86111111112"/>
    <s v="43983Москва Восток"/>
  </r>
  <r>
    <d v="2020-06-01T00:00:00"/>
    <x v="6"/>
    <n v="59"/>
    <n v="12299"/>
    <n v="11448"/>
    <n v="19465372.5"/>
    <x v="5"/>
    <n v="329921.56779661018"/>
    <s v="43983Москва Запад"/>
  </r>
  <r>
    <d v="2020-06-01T00:00:00"/>
    <x v="7"/>
    <n v="20"/>
    <n v="2136"/>
    <n v="1899"/>
    <n v="3013512"/>
    <x v="5"/>
    <n v="150675.6"/>
    <s v="43983Нижний Новгород"/>
  </r>
  <r>
    <d v="2020-06-01T00:00:00"/>
    <x v="8"/>
    <n v="18"/>
    <n v="923"/>
    <n v="824"/>
    <n v="1293219"/>
    <x v="5"/>
    <n v="71845.5"/>
    <s v="43983Новосибирск"/>
  </r>
  <r>
    <d v="2020-06-01T00:00:00"/>
    <x v="9"/>
    <n v="17"/>
    <n v="1185"/>
    <n v="1042"/>
    <n v="1526608.5"/>
    <x v="5"/>
    <n v="89800.5"/>
    <s v="43983Пермь"/>
  </r>
  <r>
    <d v="2020-06-01T00:00:00"/>
    <x v="13"/>
    <n v="16"/>
    <n v="1019"/>
    <n v="895"/>
    <n v="1565632.5"/>
    <x v="5"/>
    <n v="97852.03125"/>
    <s v="43983Ростов-на-Дону"/>
  </r>
  <r>
    <d v="2020-06-01T00:00:00"/>
    <x v="15"/>
    <n v="15"/>
    <n v="453"/>
    <n v="370"/>
    <n v="636345"/>
    <x v="5"/>
    <n v="42423"/>
    <s v="43983Самара"/>
  </r>
  <r>
    <d v="2020-06-01T00:00:00"/>
    <x v="10"/>
    <n v="123"/>
    <n v="20325"/>
    <n v="18935"/>
    <n v="37257840.18135"/>
    <x v="5"/>
    <n v="302909.26976707316"/>
    <s v="43983Санкт-Петербург Север"/>
  </r>
  <r>
    <d v="2020-06-01T00:00:00"/>
    <x v="11"/>
    <n v="128"/>
    <n v="16285"/>
    <n v="15130"/>
    <n v="27770092.5"/>
    <x v="5"/>
    <n v="216953.84765625"/>
    <s v="43983Санкт-Петербург Юг"/>
  </r>
  <r>
    <d v="2020-06-01T00:00:00"/>
    <x v="12"/>
    <n v="10"/>
    <n v="719"/>
    <n v="627"/>
    <n v="1007742"/>
    <x v="5"/>
    <n v="100774.2"/>
    <s v="43983Тольятти"/>
  </r>
  <r>
    <d v="2020-06-01T00:00:00"/>
    <x v="16"/>
    <n v="9"/>
    <n v="294"/>
    <n v="224"/>
    <n v="389013"/>
    <x v="5"/>
    <n v="43223.666666666664"/>
    <s v="43983Томск"/>
  </r>
  <r>
    <d v="2020-06-01T00:00:00"/>
    <x v="14"/>
    <n v="7"/>
    <n v="500"/>
    <n v="418"/>
    <n v="802447.5"/>
    <x v="5"/>
    <n v="114635.35714285714"/>
    <s v="43983Тюмень"/>
  </r>
  <r>
    <d v="2020-06-01T00:00:00"/>
    <x v="17"/>
    <n v="6"/>
    <n v="237"/>
    <n v="175"/>
    <n v="410892"/>
    <x v="5"/>
    <n v="68482"/>
    <s v="43983Уф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F819AE-71B3-4C93-BA33-E7567D7A8203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6">
  <location ref="A3:D28" firstHeaderRow="0" firstDataRow="1" firstDataCol="1"/>
  <pivotFields count="9">
    <pivotField numFmtId="22" showAll="0"/>
    <pivotField axis="axisRow" showAll="0" measureFilter="1">
      <items count="19">
        <item x="0"/>
        <item x="1"/>
        <item x="2"/>
        <item x="3"/>
        <item x="4"/>
        <item x="5"/>
        <item x="6"/>
        <item x="7"/>
        <item x="8"/>
        <item x="9"/>
        <item x="13"/>
        <item x="15"/>
        <item x="10"/>
        <item x="11"/>
        <item x="12"/>
        <item x="16"/>
        <item x="14"/>
        <item x="17"/>
        <item t="default"/>
      </items>
    </pivotField>
    <pivotField showAll="0"/>
    <pivotField showAll="0"/>
    <pivotField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</pivotFields>
  <rowFields count="2">
    <field x="6"/>
    <field x="1"/>
  </rowFields>
  <rowItems count="25">
    <i>
      <x/>
    </i>
    <i r="1">
      <x v="6"/>
    </i>
    <i r="1">
      <x v="12"/>
    </i>
    <i r="1">
      <x v="13"/>
    </i>
    <i>
      <x v="1"/>
    </i>
    <i r="1">
      <x v="6"/>
    </i>
    <i r="1">
      <x v="12"/>
    </i>
    <i r="1">
      <x v="13"/>
    </i>
    <i>
      <x v="2"/>
    </i>
    <i r="1">
      <x v="6"/>
    </i>
    <i r="1">
      <x v="12"/>
    </i>
    <i r="1">
      <x v="13"/>
    </i>
    <i>
      <x v="3"/>
    </i>
    <i r="1">
      <x v="6"/>
    </i>
    <i r="1">
      <x v="12"/>
    </i>
    <i r="1">
      <x v="13"/>
    </i>
    <i>
      <x v="4"/>
    </i>
    <i r="1">
      <x v="6"/>
    </i>
    <i r="1">
      <x v="12"/>
    </i>
    <i r="1">
      <x v="13"/>
    </i>
    <i>
      <x v="5"/>
    </i>
    <i r="1">
      <x v="6"/>
    </i>
    <i r="1">
      <x v="12"/>
    </i>
    <i r="1"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Товарооборот, руб" fld="5" baseField="0" baseItem="0"/>
    <dataField name="Сумма по полю Товарооборот на склад" fld="7" baseField="0" baseItem="0"/>
    <dataField name="Сумма по полю Товарооборот, руб2" fld="5" showDataAs="percentOfTotal" baseField="6" baseItem="0" numFmtId="1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A024AA9-A2C2-4435-B669-A5019B002EE7}" autoFormatId="16" applyNumberFormats="0" applyBorderFormats="0" applyFontFormats="0" applyPatternFormats="0" applyAlignmentFormats="0" applyWidthHeightFormats="0">
  <queryTableRefresh nextId="10" unboundColumnsRight="4">
    <queryTableFields count="9">
      <queryTableField id="1" name="Дата" tableColumnId="1"/>
      <queryTableField id="2" name="Территория" tableColumnId="2"/>
      <queryTableField id="3" name="Количество складов" tableColumnId="3"/>
      <queryTableField id="4" name="Количество заказов" tableColumnId="4"/>
      <queryTableField id="5" name="Количество клиентов" tableColumnId="5"/>
      <queryTableField id="8" dataBound="0" tableColumnId="8"/>
      <queryTableField id="6" dataBound="0" tableColumnId="6"/>
      <queryTableField id="7" dataBound="0" tableColumnId="7"/>
      <queryTableField id="9" dataBound="0" tableColumnId="9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A94C7F-D122-44AB-8FC9-A47D70E8742E}" name="Таблица1" displayName="Таблица1" ref="A1:J505" totalsRowShown="0" headerRowDxfId="25" dataDxfId="24" tableBorderDxfId="23">
  <autoFilter ref="A1:J505" xr:uid="{DDEB317C-D03E-4A2E-B1E3-9BD3E1F2954D}"/>
  <tableColumns count="10">
    <tableColumn id="1" xr3:uid="{FA8B507E-A277-48FE-A576-B21B5ED82DC5}" name="Дата" dataDxfId="22"/>
    <tableColumn id="2" xr3:uid="{D0C2224F-E68E-453A-832C-D71727A35C92}" name="Территория" dataDxfId="21"/>
    <tableColumn id="3" xr3:uid="{5D6E7237-49D9-4941-8385-6CD9921F07A1}" name="Товарооборот, шт" dataDxfId="20"/>
    <tableColumn id="4" xr3:uid="{C53BAC43-64E0-49B9-B0D4-C41AE94C7EF9}" name="Товарооборот, руб" dataDxfId="19"/>
    <tableColumn id="5" xr3:uid="{4E4CD9D6-A2FF-4700-BF64-555597FD3426}" name="Количество складов" dataDxfId="18"/>
    <tableColumn id="6" xr3:uid="{06EDE938-8B45-4A80-8686-8365065152F4}" name="Количество заказов" dataDxfId="17"/>
    <tableColumn id="7" xr3:uid="{385C34CA-F53D-4DD0-9884-126F0AFF269E}" name="Количество клиентов" dataDxfId="16"/>
    <tableColumn id="8" xr3:uid="{EFFCF0C9-B91C-4E6E-B756-22D5C79C8F74}" name="Товарооборот на склад"/>
    <tableColumn id="9" xr3:uid="{35A0E0CF-9688-42F8-955E-F8E1D28A705E}" name="Неделя"/>
    <tableColumn id="10" xr3:uid="{2FA491B5-4F52-4EC1-ACB7-456DB23646B6}" name="Ключ" dataDxfId="15">
      <calculatedColumnFormula>--A2&amp;B2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E541FB-6B67-434E-AAAD-8D1E1616F8BD}" name="Таблица2" displayName="Таблица2" ref="A1:E505" totalsRowShown="0" headerRowDxfId="14" dataDxfId="12" headerRowBorderDxfId="13" tableBorderDxfId="11">
  <autoFilter ref="A1:E505" xr:uid="{D078D02A-57D6-4FFF-B250-128635B98437}"/>
  <tableColumns count="5">
    <tableColumn id="1" xr3:uid="{3606664C-BE41-4706-9A12-9251490C2920}" name="Дата" dataDxfId="10"/>
    <tableColumn id="2" xr3:uid="{8E0462AA-616D-437C-BE9A-2B4474BBBD93}" name="Территория" dataDxfId="9"/>
    <tableColumn id="3" xr3:uid="{12CA17F1-00ED-42AB-83B5-E618B2FB803E}" name="Количество складов" dataDxfId="8"/>
    <tableColumn id="4" xr3:uid="{91AA5AB6-68E5-4056-94BE-73AB0EBBEE1D}" name="Количество заказов" dataDxfId="7"/>
    <tableColumn id="5" xr3:uid="{DFF0DAA8-5455-4C26-8753-1CEC3EFD8864}" name="Количество клиентов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DA62F1-4B1A-4EEF-AAF6-8404A8F78D12}" name="Таблица2_2" displayName="Таблица2_2" ref="A1:I505" tableType="queryTable" totalsRowShown="0">
  <autoFilter ref="A1:I505" xr:uid="{4E790E36-E678-46D9-866E-73D4638227C4}"/>
  <tableColumns count="9">
    <tableColumn id="1" xr3:uid="{0212DEC6-1103-4A9B-82AC-D32166852001}" uniqueName="1" name="Дата" queryTableFieldId="1" dataDxfId="5"/>
    <tableColumn id="2" xr3:uid="{70701FAA-4DA1-4B70-98C9-DB9E95B15FBA}" uniqueName="2" name="Территория" queryTableFieldId="2" dataDxfId="4"/>
    <tableColumn id="3" xr3:uid="{08465ECA-2A55-44AE-8EA9-06A79D92FA2C}" uniqueName="3" name="Количество складов" queryTableFieldId="3"/>
    <tableColumn id="4" xr3:uid="{84404924-3DD2-42F4-B955-AE9E48CD8D18}" uniqueName="4" name="Количество заказов" queryTableFieldId="4"/>
    <tableColumn id="5" xr3:uid="{E8638293-3EE9-4A85-AC5F-8219FB85B2D0}" uniqueName="5" name="Количество клиентов" queryTableFieldId="5"/>
    <tableColumn id="8" xr3:uid="{515F1C7D-9FC2-4DD6-B336-C016ADE1ED98}" uniqueName="8" name="Товарооборот, руб" queryTableFieldId="8" dataDxfId="3">
      <calculatedColumnFormula>INDEX(Лист1!$D:$D,MATCH(I2,Лист1!$J:$J,0))</calculatedColumnFormula>
    </tableColumn>
    <tableColumn id="6" xr3:uid="{C0629D83-2959-4DB1-923D-2800F0E4C44B}" uniqueName="6" name="Неделя" queryTableFieldId="6" dataDxfId="2">
      <calculatedColumnFormula>_xlfn.ISOWEEKNUM(Таблица2_2[[#This Row],[Дата]])</calculatedColumnFormula>
    </tableColumn>
    <tableColumn id="7" xr3:uid="{8924843A-E8B9-4DF1-9C55-B02623CE32C7}" uniqueName="7" name="Товарооборот на склад" queryTableFieldId="7" dataDxfId="1">
      <calculatedColumnFormula>Таблица2_2[[#This Row],[Товарооборот, руб]]/Таблица2_2[[#This Row],[Количество складов]]</calculatedColumnFormula>
    </tableColumn>
    <tableColumn id="9" xr3:uid="{DF7C0074-51A7-41CA-B2F6-FAC02EE06383}" uniqueName="9" name="Ключ" queryTableFieldId="9" dataDxfId="0">
      <calculatedColumnFormula>--Таблица2_2[[#This Row],[Дата]]&amp;Таблица2_2[[#This Row],[Территория]]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>
      <selection activeCell="J3" sqref="J3"/>
    </sheetView>
  </sheetViews>
  <sheetFormatPr defaultColWidth="14.42578125" defaultRowHeight="15" customHeight="1" x14ac:dyDescent="0.25"/>
  <cols>
    <col min="1" max="1" width="10.42578125" customWidth="1"/>
    <col min="2" max="2" width="21.7109375" customWidth="1"/>
    <col min="3" max="3" width="22" customWidth="1"/>
    <col min="4" max="4" width="20.42578125" customWidth="1"/>
    <col min="5" max="6" width="22" customWidth="1"/>
    <col min="7" max="7" width="22.7109375" customWidth="1"/>
    <col min="8" max="8" width="24.42578125" customWidth="1"/>
    <col min="9" max="9" width="10.140625" customWidth="1"/>
    <col min="10" max="10" width="22.140625" customWidth="1"/>
    <col min="11" max="25" width="8.7109375" customWidth="1"/>
  </cols>
  <sheetData>
    <row r="1" spans="1:25" ht="14.2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0" t="s">
        <v>27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 x14ac:dyDescent="0.25">
      <c r="A2" s="7">
        <v>43982</v>
      </c>
      <c r="B2" s="2" t="s">
        <v>9</v>
      </c>
      <c r="C2" s="2">
        <v>7944</v>
      </c>
      <c r="D2" s="2">
        <v>623971.5</v>
      </c>
      <c r="E2" s="3"/>
      <c r="F2" s="3"/>
      <c r="G2" s="3"/>
      <c r="J2" s="15" t="str">
        <f t="shared" ref="J2:J65" si="0">--A2&amp;B2</f>
        <v>43982Самара</v>
      </c>
    </row>
    <row r="3" spans="1:25" ht="14.25" customHeight="1" x14ac:dyDescent="0.25">
      <c r="A3" s="8">
        <v>43981</v>
      </c>
      <c r="B3" s="4" t="s">
        <v>9</v>
      </c>
      <c r="C3" s="4">
        <v>10029</v>
      </c>
      <c r="D3" s="4">
        <v>787101</v>
      </c>
      <c r="E3" s="3"/>
      <c r="F3" s="3"/>
      <c r="G3" s="3"/>
      <c r="J3" s="15" t="str">
        <f t="shared" si="0"/>
        <v>43981Самара</v>
      </c>
    </row>
    <row r="4" spans="1:25" ht="14.25" customHeight="1" x14ac:dyDescent="0.25">
      <c r="A4" s="7">
        <v>43979</v>
      </c>
      <c r="B4" s="2" t="s">
        <v>9</v>
      </c>
      <c r="C4" s="2">
        <v>8536.5</v>
      </c>
      <c r="D4" s="2">
        <v>643944</v>
      </c>
      <c r="E4" s="3"/>
      <c r="F4" s="3"/>
      <c r="G4" s="3"/>
      <c r="J4" s="15" t="str">
        <f t="shared" si="0"/>
        <v>43979Самара</v>
      </c>
    </row>
    <row r="5" spans="1:25" ht="14.25" customHeight="1" x14ac:dyDescent="0.25">
      <c r="A5" s="8">
        <v>43967</v>
      </c>
      <c r="B5" s="4" t="s">
        <v>10</v>
      </c>
      <c r="C5" s="4">
        <v>38947.5</v>
      </c>
      <c r="D5" s="4">
        <v>3395892</v>
      </c>
      <c r="E5" s="3"/>
      <c r="F5" s="3"/>
      <c r="G5" s="3"/>
      <c r="J5" s="15" t="str">
        <f t="shared" si="0"/>
        <v>43967Кемерово</v>
      </c>
    </row>
    <row r="6" spans="1:25" ht="14.25" customHeight="1" x14ac:dyDescent="0.25">
      <c r="A6" s="7">
        <v>43970</v>
      </c>
      <c r="B6" s="2" t="s">
        <v>10</v>
      </c>
      <c r="C6" s="2">
        <v>31842</v>
      </c>
      <c r="D6" s="2">
        <v>2771116.5</v>
      </c>
      <c r="E6" s="3"/>
      <c r="F6" s="3"/>
      <c r="G6" s="3"/>
      <c r="J6" s="15" t="str">
        <f t="shared" si="0"/>
        <v>43970Кемерово</v>
      </c>
    </row>
    <row r="7" spans="1:25" ht="14.25" customHeight="1" x14ac:dyDescent="0.25">
      <c r="A7" s="8">
        <v>43968</v>
      </c>
      <c r="B7" s="4" t="s">
        <v>10</v>
      </c>
      <c r="C7" s="4">
        <v>32023.5</v>
      </c>
      <c r="D7" s="4">
        <v>2882458.5</v>
      </c>
      <c r="E7" s="3"/>
      <c r="F7" s="3"/>
      <c r="G7" s="3"/>
      <c r="J7" s="15" t="str">
        <f t="shared" si="0"/>
        <v>43968Кемерово</v>
      </c>
    </row>
    <row r="8" spans="1:25" ht="14.25" customHeight="1" x14ac:dyDescent="0.25">
      <c r="A8" s="7">
        <v>43960</v>
      </c>
      <c r="B8" s="2" t="s">
        <v>10</v>
      </c>
      <c r="C8" s="2">
        <v>31147.5</v>
      </c>
      <c r="D8" s="2">
        <v>2831019</v>
      </c>
      <c r="E8" s="3"/>
      <c r="F8" s="3"/>
      <c r="G8" s="3"/>
      <c r="J8" s="15" t="str">
        <f t="shared" si="0"/>
        <v>43960Кемерово</v>
      </c>
    </row>
    <row r="9" spans="1:25" ht="14.25" customHeight="1" x14ac:dyDescent="0.25">
      <c r="A9" s="8">
        <v>43955</v>
      </c>
      <c r="B9" s="4" t="s">
        <v>10</v>
      </c>
      <c r="C9" s="4">
        <v>25566</v>
      </c>
      <c r="D9" s="4">
        <v>2372310</v>
      </c>
      <c r="E9" s="3"/>
      <c r="F9" s="3"/>
      <c r="G9" s="3"/>
      <c r="J9" s="15" t="str">
        <f t="shared" si="0"/>
        <v>43955Кемерово</v>
      </c>
    </row>
    <row r="10" spans="1:25" ht="14.25" customHeight="1" x14ac:dyDescent="0.25">
      <c r="A10" s="7">
        <v>43950</v>
      </c>
      <c r="B10" s="2" t="s">
        <v>10</v>
      </c>
      <c r="C10" s="2">
        <v>29319</v>
      </c>
      <c r="D10" s="2">
        <v>2623480.5</v>
      </c>
      <c r="E10" s="3"/>
      <c r="F10" s="3"/>
      <c r="G10" s="3"/>
      <c r="J10" s="15" t="str">
        <f t="shared" si="0"/>
        <v>43950Кемерово</v>
      </c>
    </row>
    <row r="11" spans="1:25" ht="14.25" customHeight="1" x14ac:dyDescent="0.25">
      <c r="A11" s="8">
        <v>43953</v>
      </c>
      <c r="B11" s="4" t="s">
        <v>10</v>
      </c>
      <c r="C11" s="4">
        <v>29031</v>
      </c>
      <c r="D11" s="4">
        <v>2711247</v>
      </c>
      <c r="E11" s="3"/>
      <c r="F11" s="3"/>
      <c r="G11" s="3"/>
      <c r="J11" s="15" t="str">
        <f t="shared" si="0"/>
        <v>43953Кемерово</v>
      </c>
    </row>
    <row r="12" spans="1:25" ht="14.25" customHeight="1" x14ac:dyDescent="0.25">
      <c r="A12" s="7">
        <v>43977</v>
      </c>
      <c r="B12" s="2" t="s">
        <v>10</v>
      </c>
      <c r="C12" s="2">
        <v>33423</v>
      </c>
      <c r="D12" s="2">
        <v>2970330</v>
      </c>
      <c r="E12" s="3"/>
      <c r="F12" s="3"/>
      <c r="G12" s="3"/>
      <c r="J12" s="15" t="str">
        <f t="shared" si="0"/>
        <v>43977Кемерово</v>
      </c>
    </row>
    <row r="13" spans="1:25" ht="14.25" customHeight="1" x14ac:dyDescent="0.25">
      <c r="A13" s="8">
        <v>43952</v>
      </c>
      <c r="B13" s="4" t="s">
        <v>10</v>
      </c>
      <c r="C13" s="4">
        <v>32487</v>
      </c>
      <c r="D13" s="4">
        <v>3031254</v>
      </c>
      <c r="E13" s="3"/>
      <c r="F13" s="3"/>
      <c r="G13" s="3"/>
      <c r="J13" s="15" t="str">
        <f t="shared" si="0"/>
        <v>43952Кемерово</v>
      </c>
    </row>
    <row r="14" spans="1:25" ht="14.25" customHeight="1" x14ac:dyDescent="0.25">
      <c r="A14" s="7">
        <v>43963</v>
      </c>
      <c r="B14" s="2" t="s">
        <v>10</v>
      </c>
      <c r="C14" s="2">
        <v>28219.5</v>
      </c>
      <c r="D14" s="2">
        <v>2595778.5</v>
      </c>
      <c r="E14" s="3"/>
      <c r="F14" s="3"/>
      <c r="G14" s="3"/>
      <c r="J14" s="15" t="str">
        <f t="shared" si="0"/>
        <v>43963Кемерово</v>
      </c>
    </row>
    <row r="15" spans="1:25" ht="14.25" customHeight="1" x14ac:dyDescent="0.25">
      <c r="A15" s="8">
        <v>43972</v>
      </c>
      <c r="B15" s="4" t="s">
        <v>10</v>
      </c>
      <c r="C15" s="4">
        <v>31272</v>
      </c>
      <c r="D15" s="4">
        <v>2744382</v>
      </c>
      <c r="E15" s="3"/>
      <c r="F15" s="3"/>
      <c r="G15" s="3"/>
      <c r="J15" s="15" t="str">
        <f t="shared" si="0"/>
        <v>43972Кемерово</v>
      </c>
    </row>
    <row r="16" spans="1:25" ht="14.25" customHeight="1" x14ac:dyDescent="0.25">
      <c r="A16" s="7">
        <v>43971</v>
      </c>
      <c r="B16" s="2" t="s">
        <v>10</v>
      </c>
      <c r="C16" s="2">
        <v>34077</v>
      </c>
      <c r="D16" s="2">
        <v>2929330.5</v>
      </c>
      <c r="E16" s="3"/>
      <c r="F16" s="3"/>
      <c r="G16" s="3"/>
      <c r="J16" s="15" t="str">
        <f t="shared" si="0"/>
        <v>43971Кемерово</v>
      </c>
    </row>
    <row r="17" spans="1:10" ht="14.25" customHeight="1" x14ac:dyDescent="0.25">
      <c r="A17" s="8">
        <v>43956</v>
      </c>
      <c r="B17" s="4" t="s">
        <v>10</v>
      </c>
      <c r="C17" s="4">
        <v>31566</v>
      </c>
      <c r="D17" s="4">
        <v>2906763</v>
      </c>
      <c r="E17" s="3"/>
      <c r="F17" s="3"/>
      <c r="G17" s="3"/>
      <c r="J17" s="15" t="str">
        <f t="shared" si="0"/>
        <v>43956Кемерово</v>
      </c>
    </row>
    <row r="18" spans="1:10" ht="14.25" customHeight="1" x14ac:dyDescent="0.25">
      <c r="A18" s="7">
        <v>43949</v>
      </c>
      <c r="B18" s="2" t="s">
        <v>10</v>
      </c>
      <c r="C18" s="2">
        <v>26940</v>
      </c>
      <c r="D18" s="2">
        <v>2411587.5</v>
      </c>
      <c r="E18" s="3"/>
      <c r="F18" s="3"/>
      <c r="G18" s="3"/>
      <c r="J18" s="15" t="str">
        <f t="shared" si="0"/>
        <v>43949Кемерово</v>
      </c>
    </row>
    <row r="19" spans="1:10" ht="14.25" customHeight="1" x14ac:dyDescent="0.25">
      <c r="A19" s="8">
        <v>43964</v>
      </c>
      <c r="B19" s="4" t="s">
        <v>10</v>
      </c>
      <c r="C19" s="4">
        <v>29241</v>
      </c>
      <c r="D19" s="4">
        <v>2629782</v>
      </c>
      <c r="E19" s="3"/>
      <c r="F19" s="3"/>
      <c r="G19" s="3"/>
      <c r="J19" s="15" t="str">
        <f t="shared" si="0"/>
        <v>43964Кемерово</v>
      </c>
    </row>
    <row r="20" spans="1:10" ht="14.25" customHeight="1" x14ac:dyDescent="0.25">
      <c r="A20" s="7">
        <v>43954</v>
      </c>
      <c r="B20" s="2" t="s">
        <v>10</v>
      </c>
      <c r="C20" s="2">
        <v>26082</v>
      </c>
      <c r="D20" s="2">
        <v>2434914</v>
      </c>
      <c r="E20" s="3"/>
      <c r="F20" s="3"/>
      <c r="G20" s="3"/>
      <c r="J20" s="15" t="str">
        <f t="shared" si="0"/>
        <v>43954Кемерово</v>
      </c>
    </row>
    <row r="21" spans="1:10" ht="14.25" customHeight="1" x14ac:dyDescent="0.25">
      <c r="A21" s="8">
        <v>43957</v>
      </c>
      <c r="B21" s="4" t="s">
        <v>10</v>
      </c>
      <c r="C21" s="4">
        <v>32511</v>
      </c>
      <c r="D21" s="4">
        <v>2938623</v>
      </c>
      <c r="E21" s="3"/>
      <c r="F21" s="3"/>
      <c r="G21" s="3"/>
      <c r="J21" s="15" t="str">
        <f t="shared" si="0"/>
        <v>43957Кемерово</v>
      </c>
    </row>
    <row r="22" spans="1:10" ht="14.25" customHeight="1" x14ac:dyDescent="0.25">
      <c r="A22" s="7">
        <v>43974</v>
      </c>
      <c r="B22" s="2" t="s">
        <v>10</v>
      </c>
      <c r="C22" s="2">
        <v>42703.5</v>
      </c>
      <c r="D22" s="2">
        <v>3628726.5</v>
      </c>
      <c r="E22" s="3"/>
      <c r="F22" s="3"/>
      <c r="G22" s="3"/>
      <c r="J22" s="15" t="str">
        <f t="shared" si="0"/>
        <v>43974Кемерово</v>
      </c>
    </row>
    <row r="23" spans="1:10" ht="14.25" customHeight="1" x14ac:dyDescent="0.25">
      <c r="A23" s="8">
        <v>43976</v>
      </c>
      <c r="B23" s="4" t="s">
        <v>10</v>
      </c>
      <c r="C23" s="4">
        <v>35592</v>
      </c>
      <c r="D23" s="4">
        <v>3176580</v>
      </c>
      <c r="E23" s="3"/>
      <c r="F23" s="3"/>
      <c r="G23" s="3"/>
      <c r="J23" s="15" t="str">
        <f t="shared" si="0"/>
        <v>43976Кемерово</v>
      </c>
    </row>
    <row r="24" spans="1:10" ht="14.25" customHeight="1" x14ac:dyDescent="0.25">
      <c r="A24" s="7">
        <v>43951</v>
      </c>
      <c r="B24" s="2" t="s">
        <v>10</v>
      </c>
      <c r="C24" s="2">
        <v>30445.5</v>
      </c>
      <c r="D24" s="2">
        <v>2817196.5</v>
      </c>
      <c r="E24" s="3"/>
      <c r="F24" s="3"/>
      <c r="G24" s="3"/>
      <c r="J24" s="15" t="str">
        <f t="shared" si="0"/>
        <v>43951Кемерово</v>
      </c>
    </row>
    <row r="25" spans="1:10" ht="14.25" customHeight="1" x14ac:dyDescent="0.25">
      <c r="A25" s="8">
        <v>43961</v>
      </c>
      <c r="B25" s="4" t="s">
        <v>10</v>
      </c>
      <c r="C25" s="4">
        <v>36619.5</v>
      </c>
      <c r="D25" s="4">
        <v>3312967.5</v>
      </c>
      <c r="E25" s="3"/>
      <c r="F25" s="3"/>
      <c r="G25" s="3"/>
      <c r="J25" s="15" t="str">
        <f t="shared" si="0"/>
        <v>43961Кемерово</v>
      </c>
    </row>
    <row r="26" spans="1:10" ht="14.25" customHeight="1" x14ac:dyDescent="0.25">
      <c r="A26" s="7">
        <v>43959</v>
      </c>
      <c r="B26" s="2" t="s">
        <v>10</v>
      </c>
      <c r="C26" s="2">
        <v>29409</v>
      </c>
      <c r="D26" s="2">
        <v>2645160</v>
      </c>
      <c r="E26" s="3"/>
      <c r="F26" s="3"/>
      <c r="G26" s="3"/>
      <c r="J26" s="15" t="str">
        <f t="shared" si="0"/>
        <v>43959Кемерово</v>
      </c>
    </row>
    <row r="27" spans="1:10" ht="14.25" customHeight="1" x14ac:dyDescent="0.25">
      <c r="A27" s="8">
        <v>43958</v>
      </c>
      <c r="B27" s="4" t="s">
        <v>10</v>
      </c>
      <c r="C27" s="4">
        <v>27018</v>
      </c>
      <c r="D27" s="4">
        <v>2472213</v>
      </c>
      <c r="E27" s="3"/>
      <c r="F27" s="3"/>
      <c r="G27" s="3"/>
      <c r="J27" s="15" t="str">
        <f t="shared" si="0"/>
        <v>43958Кемерово</v>
      </c>
    </row>
    <row r="28" spans="1:10" ht="14.25" customHeight="1" x14ac:dyDescent="0.25">
      <c r="A28" s="7">
        <v>43975</v>
      </c>
      <c r="B28" s="2" t="s">
        <v>10</v>
      </c>
      <c r="C28" s="2">
        <v>34303.5</v>
      </c>
      <c r="D28" s="2">
        <v>2924746.5</v>
      </c>
      <c r="E28" s="3"/>
      <c r="F28" s="3"/>
      <c r="G28" s="3"/>
      <c r="J28" s="15" t="str">
        <f t="shared" si="0"/>
        <v>43975Кемерово</v>
      </c>
    </row>
    <row r="29" spans="1:10" ht="14.25" customHeight="1" x14ac:dyDescent="0.25">
      <c r="A29" s="8">
        <v>43982</v>
      </c>
      <c r="B29" s="4" t="s">
        <v>10</v>
      </c>
      <c r="C29" s="4">
        <v>36999</v>
      </c>
      <c r="D29" s="4">
        <v>3473895</v>
      </c>
      <c r="E29" s="3"/>
      <c r="F29" s="3"/>
      <c r="G29" s="3"/>
      <c r="J29" s="15" t="str">
        <f t="shared" si="0"/>
        <v>43982Кемерово</v>
      </c>
    </row>
    <row r="30" spans="1:10" ht="14.25" customHeight="1" x14ac:dyDescent="0.25">
      <c r="A30" s="7">
        <v>43981</v>
      </c>
      <c r="B30" s="2" t="s">
        <v>10</v>
      </c>
      <c r="C30" s="2">
        <v>44001</v>
      </c>
      <c r="D30" s="2">
        <v>3921784.5</v>
      </c>
      <c r="E30" s="3"/>
      <c r="F30" s="3"/>
      <c r="G30" s="3"/>
      <c r="J30" s="15" t="str">
        <f t="shared" si="0"/>
        <v>43981Кемерово</v>
      </c>
    </row>
    <row r="31" spans="1:10" ht="14.25" customHeight="1" x14ac:dyDescent="0.25">
      <c r="A31" s="8">
        <v>43979</v>
      </c>
      <c r="B31" s="4" t="s">
        <v>10</v>
      </c>
      <c r="C31" s="4">
        <v>30982.5</v>
      </c>
      <c r="D31" s="4">
        <v>2827773</v>
      </c>
      <c r="E31" s="3"/>
      <c r="F31" s="3"/>
      <c r="G31" s="3"/>
      <c r="J31" s="15" t="str">
        <f t="shared" si="0"/>
        <v>43979Кемерово</v>
      </c>
    </row>
    <row r="32" spans="1:10" ht="14.25" customHeight="1" x14ac:dyDescent="0.25">
      <c r="A32" s="7">
        <v>43967</v>
      </c>
      <c r="B32" s="2" t="s">
        <v>11</v>
      </c>
      <c r="C32" s="2">
        <v>88063.5</v>
      </c>
      <c r="D32" s="2">
        <v>7583758.5</v>
      </c>
      <c r="E32" s="3"/>
      <c r="F32" s="3"/>
      <c r="G32" s="3"/>
      <c r="J32" s="15" t="str">
        <f t="shared" si="0"/>
        <v>43967Екатеринбург</v>
      </c>
    </row>
    <row r="33" spans="1:10" ht="14.25" customHeight="1" x14ac:dyDescent="0.25">
      <c r="A33" s="8">
        <v>43970</v>
      </c>
      <c r="B33" s="4" t="s">
        <v>11</v>
      </c>
      <c r="C33" s="4">
        <v>84024</v>
      </c>
      <c r="D33" s="4">
        <v>6815511</v>
      </c>
      <c r="E33" s="3"/>
      <c r="F33" s="3"/>
      <c r="G33" s="3"/>
      <c r="J33" s="15" t="str">
        <f t="shared" si="0"/>
        <v>43970Екатеринбург</v>
      </c>
    </row>
    <row r="34" spans="1:10" ht="14.25" customHeight="1" x14ac:dyDescent="0.25">
      <c r="A34" s="7">
        <v>43968</v>
      </c>
      <c r="B34" s="2" t="s">
        <v>11</v>
      </c>
      <c r="C34" s="2">
        <v>78057</v>
      </c>
      <c r="D34" s="2">
        <v>6774946.5</v>
      </c>
      <c r="E34" s="3"/>
      <c r="F34" s="3"/>
      <c r="G34" s="3"/>
      <c r="J34" s="15" t="str">
        <f t="shared" si="0"/>
        <v>43968Екатеринбург</v>
      </c>
    </row>
    <row r="35" spans="1:10" ht="14.25" customHeight="1" x14ac:dyDescent="0.25">
      <c r="A35" s="8">
        <v>43960</v>
      </c>
      <c r="B35" s="4" t="s">
        <v>11</v>
      </c>
      <c r="C35" s="4">
        <v>69720</v>
      </c>
      <c r="D35" s="4">
        <v>6264933</v>
      </c>
      <c r="E35" s="3"/>
      <c r="F35" s="3"/>
      <c r="G35" s="3"/>
      <c r="J35" s="15" t="str">
        <f t="shared" si="0"/>
        <v>43960Екатеринбург</v>
      </c>
    </row>
    <row r="36" spans="1:10" ht="14.25" customHeight="1" x14ac:dyDescent="0.25">
      <c r="A36" s="7">
        <v>43955</v>
      </c>
      <c r="B36" s="2" t="s">
        <v>11</v>
      </c>
      <c r="C36" s="2">
        <v>72928.5</v>
      </c>
      <c r="D36" s="2">
        <v>6642249</v>
      </c>
      <c r="E36" s="3"/>
      <c r="F36" s="3"/>
      <c r="G36" s="3"/>
      <c r="J36" s="15" t="str">
        <f t="shared" si="0"/>
        <v>43955Екатеринбург</v>
      </c>
    </row>
    <row r="37" spans="1:10" ht="14.25" customHeight="1" x14ac:dyDescent="0.25">
      <c r="A37" s="8">
        <v>43950</v>
      </c>
      <c r="B37" s="4" t="s">
        <v>11</v>
      </c>
      <c r="C37" s="4">
        <v>79527</v>
      </c>
      <c r="D37" s="4">
        <v>7180498.5</v>
      </c>
      <c r="E37" s="3"/>
      <c r="F37" s="3"/>
      <c r="G37" s="3"/>
      <c r="J37" s="15" t="str">
        <f t="shared" si="0"/>
        <v>43950Екатеринбург</v>
      </c>
    </row>
    <row r="38" spans="1:10" ht="14.25" customHeight="1" x14ac:dyDescent="0.25">
      <c r="A38" s="7">
        <v>43953</v>
      </c>
      <c r="B38" s="2" t="s">
        <v>11</v>
      </c>
      <c r="C38" s="2">
        <v>60463.5</v>
      </c>
      <c r="D38" s="2">
        <v>5554192.5</v>
      </c>
      <c r="E38" s="3"/>
      <c r="F38" s="3"/>
      <c r="G38" s="3"/>
      <c r="J38" s="15" t="str">
        <f t="shared" si="0"/>
        <v>43953Екатеринбург</v>
      </c>
    </row>
    <row r="39" spans="1:10" ht="14.25" customHeight="1" x14ac:dyDescent="0.25">
      <c r="A39" s="8">
        <v>43977</v>
      </c>
      <c r="B39" s="4" t="s">
        <v>11</v>
      </c>
      <c r="C39" s="4">
        <v>79975.5</v>
      </c>
      <c r="D39" s="4">
        <v>6676459.5</v>
      </c>
      <c r="E39" s="3"/>
      <c r="F39" s="3"/>
      <c r="G39" s="3"/>
      <c r="J39" s="15" t="str">
        <f t="shared" si="0"/>
        <v>43977Екатеринбург</v>
      </c>
    </row>
    <row r="40" spans="1:10" ht="14.25" customHeight="1" x14ac:dyDescent="0.25">
      <c r="A40" s="7">
        <v>43952</v>
      </c>
      <c r="B40" s="2" t="s">
        <v>11</v>
      </c>
      <c r="C40" s="2">
        <v>97534.5</v>
      </c>
      <c r="D40" s="2">
        <v>8893024.5</v>
      </c>
      <c r="E40" s="3"/>
      <c r="F40" s="3"/>
      <c r="G40" s="3"/>
      <c r="J40" s="15" t="str">
        <f t="shared" si="0"/>
        <v>43952Екатеринбург</v>
      </c>
    </row>
    <row r="41" spans="1:10" ht="14.25" customHeight="1" x14ac:dyDescent="0.25">
      <c r="A41" s="8">
        <v>43963</v>
      </c>
      <c r="B41" s="4" t="s">
        <v>11</v>
      </c>
      <c r="C41" s="4">
        <v>71520</v>
      </c>
      <c r="D41" s="4">
        <v>6398361</v>
      </c>
      <c r="E41" s="3"/>
      <c r="F41" s="3"/>
      <c r="G41" s="3"/>
      <c r="J41" s="15" t="str">
        <f t="shared" si="0"/>
        <v>43963Екатеринбург</v>
      </c>
    </row>
    <row r="42" spans="1:10" ht="14.25" customHeight="1" x14ac:dyDescent="0.25">
      <c r="A42" s="7">
        <v>43972</v>
      </c>
      <c r="B42" s="2" t="s">
        <v>11</v>
      </c>
      <c r="C42" s="2">
        <v>79485</v>
      </c>
      <c r="D42" s="2">
        <v>6633847.5</v>
      </c>
      <c r="E42" s="3"/>
      <c r="F42" s="3"/>
      <c r="G42" s="3"/>
      <c r="J42" s="15" t="str">
        <f t="shared" si="0"/>
        <v>43972Екатеринбург</v>
      </c>
    </row>
    <row r="43" spans="1:10" ht="14.25" customHeight="1" x14ac:dyDescent="0.25">
      <c r="A43" s="8">
        <v>43971</v>
      </c>
      <c r="B43" s="4" t="s">
        <v>11</v>
      </c>
      <c r="C43" s="4">
        <v>93313.5</v>
      </c>
      <c r="D43" s="4">
        <v>7247575.5</v>
      </c>
      <c r="E43" s="3"/>
      <c r="F43" s="3"/>
      <c r="G43" s="3"/>
      <c r="J43" s="15" t="str">
        <f t="shared" si="0"/>
        <v>43971Екатеринбург</v>
      </c>
    </row>
    <row r="44" spans="1:10" ht="14.25" customHeight="1" x14ac:dyDescent="0.25">
      <c r="A44" s="7">
        <v>43956</v>
      </c>
      <c r="B44" s="2" t="s">
        <v>11</v>
      </c>
      <c r="C44" s="2">
        <v>76585.5</v>
      </c>
      <c r="D44" s="2">
        <v>6921316.5</v>
      </c>
      <c r="E44" s="3"/>
      <c r="F44" s="3"/>
      <c r="G44" s="3"/>
      <c r="J44" s="15" t="str">
        <f t="shared" si="0"/>
        <v>43956Екатеринбург</v>
      </c>
    </row>
    <row r="45" spans="1:10" ht="14.25" customHeight="1" x14ac:dyDescent="0.25">
      <c r="A45" s="8">
        <v>43949</v>
      </c>
      <c r="B45" s="4" t="s">
        <v>11</v>
      </c>
      <c r="C45" s="4">
        <v>81826.5</v>
      </c>
      <c r="D45" s="4">
        <v>7163644.5</v>
      </c>
      <c r="E45" s="3"/>
      <c r="F45" s="3"/>
      <c r="G45" s="3"/>
      <c r="J45" s="15" t="str">
        <f t="shared" si="0"/>
        <v>43949Екатеринбург</v>
      </c>
    </row>
    <row r="46" spans="1:10" ht="14.25" customHeight="1" x14ac:dyDescent="0.25">
      <c r="A46" s="7">
        <v>43964</v>
      </c>
      <c r="B46" s="2" t="s">
        <v>11</v>
      </c>
      <c r="C46" s="2">
        <v>78846</v>
      </c>
      <c r="D46" s="2">
        <v>6993952.5</v>
      </c>
      <c r="E46" s="3"/>
      <c r="F46" s="3"/>
      <c r="G46" s="3"/>
      <c r="J46" s="15" t="str">
        <f t="shared" si="0"/>
        <v>43964Екатеринбург</v>
      </c>
    </row>
    <row r="47" spans="1:10" ht="14.25" customHeight="1" x14ac:dyDescent="0.25">
      <c r="A47" s="8">
        <v>43954</v>
      </c>
      <c r="B47" s="4" t="s">
        <v>11</v>
      </c>
      <c r="C47" s="4">
        <v>77263.5</v>
      </c>
      <c r="D47" s="4">
        <v>7013670</v>
      </c>
      <c r="E47" s="3"/>
      <c r="F47" s="3"/>
      <c r="G47" s="3"/>
      <c r="J47" s="15" t="str">
        <f t="shared" si="0"/>
        <v>43954Екатеринбург</v>
      </c>
    </row>
    <row r="48" spans="1:10" ht="14.25" customHeight="1" x14ac:dyDescent="0.25">
      <c r="A48" s="7">
        <v>43957</v>
      </c>
      <c r="B48" s="2" t="s">
        <v>11</v>
      </c>
      <c r="C48" s="2">
        <v>68994</v>
      </c>
      <c r="D48" s="2">
        <v>6168657</v>
      </c>
      <c r="E48" s="3"/>
      <c r="F48" s="3"/>
      <c r="G48" s="3"/>
      <c r="J48" s="15" t="str">
        <f t="shared" si="0"/>
        <v>43957Екатеринбург</v>
      </c>
    </row>
    <row r="49" spans="1:10" ht="14.25" customHeight="1" x14ac:dyDescent="0.25">
      <c r="A49" s="8">
        <v>43974</v>
      </c>
      <c r="B49" s="4" t="s">
        <v>11</v>
      </c>
      <c r="C49" s="4">
        <v>102889.5</v>
      </c>
      <c r="D49" s="4">
        <v>8089143</v>
      </c>
      <c r="E49" s="3"/>
      <c r="F49" s="3"/>
      <c r="G49" s="3"/>
      <c r="J49" s="15" t="str">
        <f t="shared" si="0"/>
        <v>43974Екатеринбург</v>
      </c>
    </row>
    <row r="50" spans="1:10" ht="14.25" customHeight="1" x14ac:dyDescent="0.25">
      <c r="A50" s="7">
        <v>43976</v>
      </c>
      <c r="B50" s="2" t="s">
        <v>11</v>
      </c>
      <c r="C50" s="2">
        <v>76999.5</v>
      </c>
      <c r="D50" s="2">
        <v>6645603</v>
      </c>
      <c r="E50" s="3"/>
      <c r="F50" s="3"/>
      <c r="G50" s="3"/>
      <c r="J50" s="15" t="str">
        <f t="shared" si="0"/>
        <v>43976Екатеринбург</v>
      </c>
    </row>
    <row r="51" spans="1:10" ht="14.25" customHeight="1" x14ac:dyDescent="0.25">
      <c r="A51" s="8">
        <v>43951</v>
      </c>
      <c r="B51" s="4" t="s">
        <v>11</v>
      </c>
      <c r="C51" s="4">
        <v>77565</v>
      </c>
      <c r="D51" s="4">
        <v>7023727.5</v>
      </c>
      <c r="E51" s="3"/>
      <c r="F51" s="3"/>
      <c r="G51" s="3"/>
      <c r="J51" s="15" t="str">
        <f t="shared" si="0"/>
        <v>43951Екатеринбург</v>
      </c>
    </row>
    <row r="52" spans="1:10" ht="14.25" customHeight="1" x14ac:dyDescent="0.25">
      <c r="A52" s="7">
        <v>43961</v>
      </c>
      <c r="B52" s="2" t="s">
        <v>11</v>
      </c>
      <c r="C52" s="2">
        <v>84132</v>
      </c>
      <c r="D52" s="2">
        <v>7483194</v>
      </c>
      <c r="E52" s="3"/>
      <c r="F52" s="3"/>
      <c r="G52" s="3"/>
      <c r="J52" s="15" t="str">
        <f t="shared" si="0"/>
        <v>43961Екатеринбург</v>
      </c>
    </row>
    <row r="53" spans="1:10" ht="14.25" customHeight="1" x14ac:dyDescent="0.25">
      <c r="A53" s="8">
        <v>43959</v>
      </c>
      <c r="B53" s="4" t="s">
        <v>11</v>
      </c>
      <c r="C53" s="4">
        <v>69544.5</v>
      </c>
      <c r="D53" s="4">
        <v>6293776.5</v>
      </c>
      <c r="E53" s="3"/>
      <c r="F53" s="3"/>
      <c r="G53" s="3"/>
      <c r="J53" s="15" t="str">
        <f t="shared" si="0"/>
        <v>43959Екатеринбург</v>
      </c>
    </row>
    <row r="54" spans="1:10" ht="14.25" customHeight="1" x14ac:dyDescent="0.25">
      <c r="A54" s="7">
        <v>43958</v>
      </c>
      <c r="B54" s="2" t="s">
        <v>11</v>
      </c>
      <c r="C54" s="2">
        <v>73204.5</v>
      </c>
      <c r="D54" s="2">
        <v>6591883.5</v>
      </c>
      <c r="E54" s="3"/>
      <c r="F54" s="3"/>
      <c r="G54" s="3"/>
      <c r="J54" s="15" t="str">
        <f t="shared" si="0"/>
        <v>43958Екатеринбург</v>
      </c>
    </row>
    <row r="55" spans="1:10" ht="14.25" customHeight="1" x14ac:dyDescent="0.25">
      <c r="A55" s="8">
        <v>43975</v>
      </c>
      <c r="B55" s="4" t="s">
        <v>11</v>
      </c>
      <c r="C55" s="4">
        <v>76663.5</v>
      </c>
      <c r="D55" s="4">
        <v>6451032</v>
      </c>
      <c r="E55" s="3"/>
      <c r="F55" s="3"/>
      <c r="G55" s="3"/>
      <c r="J55" s="15" t="str">
        <f t="shared" si="0"/>
        <v>43975Екатеринбург</v>
      </c>
    </row>
    <row r="56" spans="1:10" ht="14.25" customHeight="1" x14ac:dyDescent="0.25">
      <c r="A56" s="7">
        <v>43967</v>
      </c>
      <c r="B56" s="2" t="s">
        <v>12</v>
      </c>
      <c r="C56" s="2">
        <v>14265</v>
      </c>
      <c r="D56" s="2">
        <v>1130506.5</v>
      </c>
      <c r="E56" s="3"/>
      <c r="F56" s="3"/>
      <c r="G56" s="3"/>
      <c r="J56" s="15" t="str">
        <f t="shared" si="0"/>
        <v>43967Тольятти</v>
      </c>
    </row>
    <row r="57" spans="1:10" ht="14.25" customHeight="1" x14ac:dyDescent="0.25">
      <c r="A57" s="8">
        <v>43970</v>
      </c>
      <c r="B57" s="4" t="s">
        <v>12</v>
      </c>
      <c r="C57" s="4">
        <v>11526</v>
      </c>
      <c r="D57" s="4">
        <v>938764.5</v>
      </c>
      <c r="E57" s="3"/>
      <c r="F57" s="3"/>
      <c r="G57" s="3"/>
      <c r="J57" s="15" t="str">
        <f t="shared" si="0"/>
        <v>43970Тольятти</v>
      </c>
    </row>
    <row r="58" spans="1:10" ht="14.25" customHeight="1" x14ac:dyDescent="0.25">
      <c r="A58" s="7">
        <v>43968</v>
      </c>
      <c r="B58" s="2" t="s">
        <v>12</v>
      </c>
      <c r="C58" s="2">
        <v>10402.5</v>
      </c>
      <c r="D58" s="2">
        <v>843727.5</v>
      </c>
      <c r="E58" s="3"/>
      <c r="F58" s="3"/>
      <c r="G58" s="3"/>
      <c r="J58" s="15" t="str">
        <f t="shared" si="0"/>
        <v>43968Тольятти</v>
      </c>
    </row>
    <row r="59" spans="1:10" ht="14.25" customHeight="1" x14ac:dyDescent="0.25">
      <c r="A59" s="8">
        <v>43960</v>
      </c>
      <c r="B59" s="4" t="s">
        <v>12</v>
      </c>
      <c r="C59" s="4">
        <v>13216.5</v>
      </c>
      <c r="D59" s="4">
        <v>1046400</v>
      </c>
      <c r="E59" s="3"/>
      <c r="F59" s="3"/>
      <c r="G59" s="3"/>
      <c r="J59" s="15" t="str">
        <f t="shared" si="0"/>
        <v>43960Тольятти</v>
      </c>
    </row>
    <row r="60" spans="1:10" ht="14.25" customHeight="1" x14ac:dyDescent="0.25">
      <c r="A60" s="7">
        <v>43955</v>
      </c>
      <c r="B60" s="2" t="s">
        <v>12</v>
      </c>
      <c r="C60" s="2">
        <v>9130.5</v>
      </c>
      <c r="D60" s="2">
        <v>728890.5</v>
      </c>
      <c r="E60" s="3"/>
      <c r="F60" s="3"/>
      <c r="G60" s="3"/>
      <c r="J60" s="15" t="str">
        <f t="shared" si="0"/>
        <v>43955Тольятти</v>
      </c>
    </row>
    <row r="61" spans="1:10" ht="14.25" customHeight="1" x14ac:dyDescent="0.25">
      <c r="A61" s="8">
        <v>43950</v>
      </c>
      <c r="B61" s="4" t="s">
        <v>12</v>
      </c>
      <c r="C61" s="4">
        <v>10840.5</v>
      </c>
      <c r="D61" s="4">
        <v>797919</v>
      </c>
      <c r="E61" s="3"/>
      <c r="F61" s="3"/>
      <c r="G61" s="3"/>
      <c r="J61" s="15" t="str">
        <f t="shared" si="0"/>
        <v>43950Тольятти</v>
      </c>
    </row>
    <row r="62" spans="1:10" ht="14.25" customHeight="1" x14ac:dyDescent="0.25">
      <c r="A62" s="7">
        <v>43953</v>
      </c>
      <c r="B62" s="2" t="s">
        <v>12</v>
      </c>
      <c r="C62" s="2">
        <v>7866</v>
      </c>
      <c r="D62" s="2">
        <v>617881.5</v>
      </c>
      <c r="E62" s="3"/>
      <c r="F62" s="3"/>
      <c r="G62" s="3"/>
      <c r="J62" s="15" t="str">
        <f t="shared" si="0"/>
        <v>43953Тольятти</v>
      </c>
    </row>
    <row r="63" spans="1:10" ht="14.25" customHeight="1" x14ac:dyDescent="0.25">
      <c r="A63" s="8">
        <v>43977</v>
      </c>
      <c r="B63" s="4" t="s">
        <v>12</v>
      </c>
      <c r="C63" s="4">
        <v>11835</v>
      </c>
      <c r="D63" s="4">
        <v>983109</v>
      </c>
      <c r="E63" s="3"/>
      <c r="F63" s="3"/>
      <c r="G63" s="3"/>
      <c r="J63" s="15" t="str">
        <f t="shared" si="0"/>
        <v>43977Тольятти</v>
      </c>
    </row>
    <row r="64" spans="1:10" ht="14.25" customHeight="1" x14ac:dyDescent="0.25">
      <c r="A64" s="7">
        <v>43952</v>
      </c>
      <c r="B64" s="2" t="s">
        <v>12</v>
      </c>
      <c r="C64" s="2">
        <v>11619</v>
      </c>
      <c r="D64" s="2">
        <v>891139.5</v>
      </c>
      <c r="E64" s="3"/>
      <c r="F64" s="3"/>
      <c r="G64" s="3"/>
      <c r="J64" s="15" t="str">
        <f t="shared" si="0"/>
        <v>43952Тольятти</v>
      </c>
    </row>
    <row r="65" spans="1:10" ht="14.25" customHeight="1" x14ac:dyDescent="0.25">
      <c r="A65" s="8">
        <v>43963</v>
      </c>
      <c r="B65" s="4" t="s">
        <v>12</v>
      </c>
      <c r="C65" s="4">
        <v>9328.5</v>
      </c>
      <c r="D65" s="4">
        <v>732964.5</v>
      </c>
      <c r="E65" s="3"/>
      <c r="F65" s="3"/>
      <c r="G65" s="3"/>
      <c r="J65" s="15" t="str">
        <f t="shared" si="0"/>
        <v>43963Тольятти</v>
      </c>
    </row>
    <row r="66" spans="1:10" ht="14.25" customHeight="1" x14ac:dyDescent="0.25">
      <c r="A66" s="7">
        <v>43972</v>
      </c>
      <c r="B66" s="2" t="s">
        <v>12</v>
      </c>
      <c r="C66" s="2">
        <v>11250</v>
      </c>
      <c r="D66" s="2">
        <v>935523</v>
      </c>
      <c r="E66" s="3"/>
      <c r="F66" s="3"/>
      <c r="G66" s="3"/>
      <c r="J66" s="15" t="str">
        <f t="shared" ref="J66:J129" si="1">--A66&amp;B66</f>
        <v>43972Тольятти</v>
      </c>
    </row>
    <row r="67" spans="1:10" ht="14.25" customHeight="1" x14ac:dyDescent="0.25">
      <c r="A67" s="8">
        <v>43971</v>
      </c>
      <c r="B67" s="4" t="s">
        <v>12</v>
      </c>
      <c r="C67" s="4">
        <v>13063.5</v>
      </c>
      <c r="D67" s="4">
        <v>1037247</v>
      </c>
      <c r="E67" s="3"/>
      <c r="F67" s="3"/>
      <c r="G67" s="3"/>
      <c r="J67" s="15" t="str">
        <f t="shared" si="1"/>
        <v>43971Тольятти</v>
      </c>
    </row>
    <row r="68" spans="1:10" ht="14.25" customHeight="1" x14ac:dyDescent="0.25">
      <c r="A68" s="7">
        <v>43956</v>
      </c>
      <c r="B68" s="2" t="s">
        <v>12</v>
      </c>
      <c r="C68" s="2">
        <v>10147.5</v>
      </c>
      <c r="D68" s="2">
        <v>793320</v>
      </c>
      <c r="E68" s="3"/>
      <c r="F68" s="3"/>
      <c r="G68" s="3"/>
      <c r="J68" s="15" t="str">
        <f t="shared" si="1"/>
        <v>43956Тольятти</v>
      </c>
    </row>
    <row r="69" spans="1:10" ht="14.25" customHeight="1" x14ac:dyDescent="0.25">
      <c r="A69" s="8">
        <v>43949</v>
      </c>
      <c r="B69" s="4" t="s">
        <v>12</v>
      </c>
      <c r="C69" s="4">
        <v>12331.5</v>
      </c>
      <c r="D69" s="4">
        <v>869983.5</v>
      </c>
      <c r="E69" s="3"/>
      <c r="F69" s="3"/>
      <c r="G69" s="3"/>
      <c r="J69" s="15" t="str">
        <f t="shared" si="1"/>
        <v>43949Тольятти</v>
      </c>
    </row>
    <row r="70" spans="1:10" ht="14.25" customHeight="1" x14ac:dyDescent="0.25">
      <c r="A70" s="7">
        <v>43964</v>
      </c>
      <c r="B70" s="2" t="s">
        <v>12</v>
      </c>
      <c r="C70" s="2">
        <v>11202</v>
      </c>
      <c r="D70" s="2">
        <v>865714.5</v>
      </c>
      <c r="E70" s="3"/>
      <c r="F70" s="3"/>
      <c r="G70" s="3"/>
      <c r="J70" s="15" t="str">
        <f t="shared" si="1"/>
        <v>43964Тольятти</v>
      </c>
    </row>
    <row r="71" spans="1:10" ht="14.25" customHeight="1" x14ac:dyDescent="0.25">
      <c r="A71" s="8">
        <v>43982</v>
      </c>
      <c r="B71" s="4" t="s">
        <v>11</v>
      </c>
      <c r="C71" s="4">
        <v>89149.5</v>
      </c>
      <c r="D71" s="4">
        <v>7512646.5</v>
      </c>
      <c r="E71" s="3"/>
      <c r="F71" s="3"/>
      <c r="G71" s="3"/>
      <c r="J71" s="15" t="str">
        <f t="shared" si="1"/>
        <v>43982Екатеринбург</v>
      </c>
    </row>
    <row r="72" spans="1:10" ht="14.25" customHeight="1" x14ac:dyDescent="0.25">
      <c r="A72" s="7">
        <v>43954</v>
      </c>
      <c r="B72" s="2" t="s">
        <v>12</v>
      </c>
      <c r="C72" s="2">
        <v>8185.5</v>
      </c>
      <c r="D72" s="2">
        <v>637881</v>
      </c>
      <c r="E72" s="3"/>
      <c r="F72" s="3"/>
      <c r="G72" s="3"/>
      <c r="J72" s="15" t="str">
        <f t="shared" si="1"/>
        <v>43954Тольятти</v>
      </c>
    </row>
    <row r="73" spans="1:10" ht="14.25" customHeight="1" x14ac:dyDescent="0.25">
      <c r="A73" s="8">
        <v>43981</v>
      </c>
      <c r="B73" s="4" t="s">
        <v>11</v>
      </c>
      <c r="C73" s="4">
        <v>108123</v>
      </c>
      <c r="D73" s="4">
        <v>9164707.5</v>
      </c>
      <c r="E73" s="3"/>
      <c r="F73" s="3"/>
      <c r="G73" s="3"/>
      <c r="J73" s="15" t="str">
        <f t="shared" si="1"/>
        <v>43981Екатеринбург</v>
      </c>
    </row>
    <row r="74" spans="1:10" ht="14.25" customHeight="1" x14ac:dyDescent="0.25">
      <c r="A74" s="7">
        <v>43957</v>
      </c>
      <c r="B74" s="2" t="s">
        <v>12</v>
      </c>
      <c r="C74" s="2">
        <v>9210</v>
      </c>
      <c r="D74" s="2">
        <v>696832.5</v>
      </c>
      <c r="E74" s="3"/>
      <c r="F74" s="3"/>
      <c r="G74" s="3"/>
      <c r="J74" s="15" t="str">
        <f t="shared" si="1"/>
        <v>43957Тольятти</v>
      </c>
    </row>
    <row r="75" spans="1:10" ht="14.25" customHeight="1" x14ac:dyDescent="0.25">
      <c r="A75" s="8">
        <v>43974</v>
      </c>
      <c r="B75" s="4" t="s">
        <v>12</v>
      </c>
      <c r="C75" s="4">
        <v>14773.5</v>
      </c>
      <c r="D75" s="4">
        <v>1241383.5</v>
      </c>
      <c r="E75" s="3"/>
      <c r="F75" s="3"/>
      <c r="G75" s="3"/>
      <c r="J75" s="15" t="str">
        <f t="shared" si="1"/>
        <v>43974Тольятти</v>
      </c>
    </row>
    <row r="76" spans="1:10" ht="14.25" customHeight="1" x14ac:dyDescent="0.25">
      <c r="A76" s="7">
        <v>43979</v>
      </c>
      <c r="B76" s="2" t="s">
        <v>11</v>
      </c>
      <c r="C76" s="2">
        <v>78141</v>
      </c>
      <c r="D76" s="2">
        <v>6641569.5</v>
      </c>
      <c r="E76" s="3"/>
      <c r="F76" s="3"/>
      <c r="G76" s="3"/>
      <c r="J76" s="15" t="str">
        <f t="shared" si="1"/>
        <v>43979Екатеринбург</v>
      </c>
    </row>
    <row r="77" spans="1:10" ht="14.25" customHeight="1" x14ac:dyDescent="0.25">
      <c r="A77" s="8">
        <v>43976</v>
      </c>
      <c r="B77" s="4" t="s">
        <v>12</v>
      </c>
      <c r="C77" s="4">
        <v>12280.5</v>
      </c>
      <c r="D77" s="4">
        <v>1030440</v>
      </c>
      <c r="E77" s="3"/>
      <c r="F77" s="3"/>
      <c r="G77" s="3"/>
      <c r="J77" s="15" t="str">
        <f t="shared" si="1"/>
        <v>43976Тольятти</v>
      </c>
    </row>
    <row r="78" spans="1:10" ht="14.25" customHeight="1" x14ac:dyDescent="0.25">
      <c r="A78" s="7">
        <v>43951</v>
      </c>
      <c r="B78" s="2" t="s">
        <v>12</v>
      </c>
      <c r="C78" s="2">
        <v>8934</v>
      </c>
      <c r="D78" s="2">
        <v>716196</v>
      </c>
      <c r="E78" s="3"/>
      <c r="F78" s="3"/>
      <c r="G78" s="3"/>
      <c r="J78" s="15" t="str">
        <f t="shared" si="1"/>
        <v>43951Тольятти</v>
      </c>
    </row>
    <row r="79" spans="1:10" ht="14.25" customHeight="1" x14ac:dyDescent="0.25">
      <c r="A79" s="8">
        <v>43961</v>
      </c>
      <c r="B79" s="4" t="s">
        <v>12</v>
      </c>
      <c r="C79" s="4">
        <v>12918</v>
      </c>
      <c r="D79" s="4">
        <v>1004788.5</v>
      </c>
      <c r="E79" s="3"/>
      <c r="F79" s="3"/>
      <c r="G79" s="3"/>
      <c r="J79" s="15" t="str">
        <f t="shared" si="1"/>
        <v>43961Тольятти</v>
      </c>
    </row>
    <row r="80" spans="1:10" ht="14.25" customHeight="1" x14ac:dyDescent="0.25">
      <c r="A80" s="7">
        <v>43959</v>
      </c>
      <c r="B80" s="2" t="s">
        <v>12</v>
      </c>
      <c r="C80" s="2">
        <v>12528</v>
      </c>
      <c r="D80" s="2">
        <v>959703</v>
      </c>
      <c r="E80" s="3"/>
      <c r="F80" s="3"/>
      <c r="G80" s="3"/>
      <c r="J80" s="15" t="str">
        <f t="shared" si="1"/>
        <v>43959Тольятти</v>
      </c>
    </row>
    <row r="81" spans="1:10" ht="14.25" customHeight="1" x14ac:dyDescent="0.25">
      <c r="A81" s="8">
        <v>43958</v>
      </c>
      <c r="B81" s="4" t="s">
        <v>12</v>
      </c>
      <c r="C81" s="4">
        <v>11029.5</v>
      </c>
      <c r="D81" s="4">
        <v>863754</v>
      </c>
      <c r="E81" s="3"/>
      <c r="F81" s="3"/>
      <c r="G81" s="3"/>
      <c r="J81" s="15" t="str">
        <f t="shared" si="1"/>
        <v>43958Тольятти</v>
      </c>
    </row>
    <row r="82" spans="1:10" ht="14.25" customHeight="1" x14ac:dyDescent="0.25">
      <c r="A82" s="7">
        <v>43975</v>
      </c>
      <c r="B82" s="2" t="s">
        <v>12</v>
      </c>
      <c r="C82" s="2">
        <v>9994.5</v>
      </c>
      <c r="D82" s="2">
        <v>828984</v>
      </c>
      <c r="E82" s="3"/>
      <c r="F82" s="3"/>
      <c r="G82" s="3"/>
      <c r="J82" s="15" t="str">
        <f t="shared" si="1"/>
        <v>43975Тольятти</v>
      </c>
    </row>
    <row r="83" spans="1:10" ht="14.25" customHeight="1" x14ac:dyDescent="0.25">
      <c r="A83" s="8">
        <v>43982</v>
      </c>
      <c r="B83" s="4" t="s">
        <v>12</v>
      </c>
      <c r="C83" s="4">
        <v>12724.5</v>
      </c>
      <c r="D83" s="4">
        <v>1045515</v>
      </c>
      <c r="E83" s="3"/>
      <c r="F83" s="3"/>
      <c r="G83" s="3"/>
      <c r="J83" s="15" t="str">
        <f t="shared" si="1"/>
        <v>43982Тольятти</v>
      </c>
    </row>
    <row r="84" spans="1:10" ht="14.25" customHeight="1" x14ac:dyDescent="0.25">
      <c r="A84" s="7">
        <v>43981</v>
      </c>
      <c r="B84" s="2" t="s">
        <v>12</v>
      </c>
      <c r="C84" s="2">
        <v>14728.5</v>
      </c>
      <c r="D84" s="2">
        <v>1260483</v>
      </c>
      <c r="E84" s="3"/>
      <c r="F84" s="3"/>
      <c r="G84" s="3"/>
      <c r="J84" s="15" t="str">
        <f t="shared" si="1"/>
        <v>43981Тольятти</v>
      </c>
    </row>
    <row r="85" spans="1:10" ht="14.25" customHeight="1" x14ac:dyDescent="0.25">
      <c r="A85" s="8">
        <v>43979</v>
      </c>
      <c r="B85" s="4" t="s">
        <v>12</v>
      </c>
      <c r="C85" s="4">
        <v>13038</v>
      </c>
      <c r="D85" s="4">
        <v>1114552.5</v>
      </c>
      <c r="E85" s="3"/>
      <c r="F85" s="3"/>
      <c r="G85" s="3"/>
      <c r="J85" s="15" t="str">
        <f t="shared" si="1"/>
        <v>43979Тольятти</v>
      </c>
    </row>
    <row r="86" spans="1:10" ht="14.25" customHeight="1" x14ac:dyDescent="0.25">
      <c r="A86" s="7">
        <v>43967</v>
      </c>
      <c r="B86" s="2" t="s">
        <v>13</v>
      </c>
      <c r="C86" s="2">
        <v>35482.5</v>
      </c>
      <c r="D86" s="2">
        <v>3222517.5</v>
      </c>
      <c r="E86" s="3"/>
      <c r="F86" s="3"/>
      <c r="G86" s="3"/>
      <c r="J86" s="15" t="str">
        <f t="shared" si="1"/>
        <v>43967Нижний Новгород</v>
      </c>
    </row>
    <row r="87" spans="1:10" ht="14.25" customHeight="1" x14ac:dyDescent="0.25">
      <c r="A87" s="8">
        <v>43970</v>
      </c>
      <c r="B87" s="4" t="s">
        <v>13</v>
      </c>
      <c r="C87" s="4">
        <v>32434.5</v>
      </c>
      <c r="D87" s="4">
        <v>2865337.5</v>
      </c>
      <c r="E87" s="3"/>
      <c r="F87" s="3"/>
      <c r="G87" s="3"/>
      <c r="J87" s="15" t="str">
        <f t="shared" si="1"/>
        <v>43970Нижний Новгород</v>
      </c>
    </row>
    <row r="88" spans="1:10" ht="14.25" customHeight="1" x14ac:dyDescent="0.25">
      <c r="A88" s="7">
        <v>43968</v>
      </c>
      <c r="B88" s="2" t="s">
        <v>13</v>
      </c>
      <c r="C88" s="2">
        <v>30486</v>
      </c>
      <c r="D88" s="2">
        <v>2694289.5</v>
      </c>
      <c r="E88" s="3"/>
      <c r="F88" s="3"/>
      <c r="G88" s="3"/>
      <c r="J88" s="15" t="str">
        <f t="shared" si="1"/>
        <v>43968Нижний Новгород</v>
      </c>
    </row>
    <row r="89" spans="1:10" ht="14.25" customHeight="1" x14ac:dyDescent="0.25">
      <c r="A89" s="8">
        <v>43960</v>
      </c>
      <c r="B89" s="4" t="s">
        <v>13</v>
      </c>
      <c r="C89" s="4">
        <v>32079</v>
      </c>
      <c r="D89" s="4">
        <v>2902167</v>
      </c>
      <c r="E89" s="3"/>
      <c r="F89" s="3"/>
      <c r="G89" s="3"/>
      <c r="J89" s="15" t="str">
        <f t="shared" si="1"/>
        <v>43960Нижний Новгород</v>
      </c>
    </row>
    <row r="90" spans="1:10" ht="14.25" customHeight="1" x14ac:dyDescent="0.25">
      <c r="A90" s="7">
        <v>43955</v>
      </c>
      <c r="B90" s="2" t="s">
        <v>13</v>
      </c>
      <c r="C90" s="2">
        <v>27072</v>
      </c>
      <c r="D90" s="2">
        <v>2450968.5</v>
      </c>
      <c r="E90" s="3"/>
      <c r="F90" s="3"/>
      <c r="G90" s="3"/>
      <c r="J90" s="15" t="str">
        <f t="shared" si="1"/>
        <v>43955Нижний Новгород</v>
      </c>
    </row>
    <row r="91" spans="1:10" ht="14.25" customHeight="1" x14ac:dyDescent="0.25">
      <c r="A91" s="8">
        <v>43950</v>
      </c>
      <c r="B91" s="4" t="s">
        <v>13</v>
      </c>
      <c r="C91" s="4">
        <v>25917</v>
      </c>
      <c r="D91" s="4">
        <v>2397588</v>
      </c>
      <c r="E91" s="3"/>
      <c r="F91" s="3"/>
      <c r="G91" s="3"/>
      <c r="J91" s="15" t="str">
        <f t="shared" si="1"/>
        <v>43950Нижний Новгород</v>
      </c>
    </row>
    <row r="92" spans="1:10" ht="14.25" customHeight="1" x14ac:dyDescent="0.25">
      <c r="A92" s="7">
        <v>43953</v>
      </c>
      <c r="B92" s="2" t="s">
        <v>13</v>
      </c>
      <c r="C92" s="2">
        <v>19461</v>
      </c>
      <c r="D92" s="2">
        <v>1799230.5</v>
      </c>
      <c r="E92" s="3"/>
      <c r="F92" s="3"/>
      <c r="G92" s="3"/>
      <c r="J92" s="15" t="str">
        <f t="shared" si="1"/>
        <v>43953Нижний Новгород</v>
      </c>
    </row>
    <row r="93" spans="1:10" ht="14.25" customHeight="1" x14ac:dyDescent="0.25">
      <c r="A93" s="8">
        <v>43977</v>
      </c>
      <c r="B93" s="4" t="s">
        <v>13</v>
      </c>
      <c r="C93" s="4">
        <v>31407</v>
      </c>
      <c r="D93" s="4">
        <v>2907411</v>
      </c>
      <c r="E93" s="3"/>
      <c r="F93" s="3"/>
      <c r="G93" s="3"/>
      <c r="J93" s="15" t="str">
        <f t="shared" si="1"/>
        <v>43977Нижний Новгород</v>
      </c>
    </row>
    <row r="94" spans="1:10" ht="14.25" customHeight="1" x14ac:dyDescent="0.25">
      <c r="A94" s="7">
        <v>43952</v>
      </c>
      <c r="B94" s="2" t="s">
        <v>13</v>
      </c>
      <c r="C94" s="2">
        <v>25792.5</v>
      </c>
      <c r="D94" s="2">
        <v>2374356</v>
      </c>
      <c r="E94" s="3"/>
      <c r="F94" s="3"/>
      <c r="G94" s="3"/>
      <c r="J94" s="15" t="str">
        <f t="shared" si="1"/>
        <v>43952Нижний Новгород</v>
      </c>
    </row>
    <row r="95" spans="1:10" ht="14.25" customHeight="1" x14ac:dyDescent="0.25">
      <c r="A95" s="8">
        <v>43963</v>
      </c>
      <c r="B95" s="4" t="s">
        <v>13</v>
      </c>
      <c r="C95" s="4">
        <v>26032.5</v>
      </c>
      <c r="D95" s="4">
        <v>2370432</v>
      </c>
      <c r="E95" s="3"/>
      <c r="F95" s="3"/>
      <c r="G95" s="3"/>
      <c r="J95" s="15" t="str">
        <f t="shared" si="1"/>
        <v>43963Нижний Новгород</v>
      </c>
    </row>
    <row r="96" spans="1:10" ht="14.25" customHeight="1" x14ac:dyDescent="0.25">
      <c r="A96" s="7">
        <v>43972</v>
      </c>
      <c r="B96" s="2" t="s">
        <v>13</v>
      </c>
      <c r="C96" s="2">
        <v>31707</v>
      </c>
      <c r="D96" s="2">
        <v>2853181.5</v>
      </c>
      <c r="E96" s="3"/>
      <c r="F96" s="3"/>
      <c r="G96" s="3"/>
      <c r="J96" s="15" t="str">
        <f t="shared" si="1"/>
        <v>43972Нижний Новгород</v>
      </c>
    </row>
    <row r="97" spans="1:10" ht="14.25" customHeight="1" x14ac:dyDescent="0.25">
      <c r="A97" s="8">
        <v>43971</v>
      </c>
      <c r="B97" s="4" t="s">
        <v>13</v>
      </c>
      <c r="C97" s="4">
        <v>29955</v>
      </c>
      <c r="D97" s="4">
        <v>2692230</v>
      </c>
      <c r="E97" s="3"/>
      <c r="F97" s="3"/>
      <c r="G97" s="3"/>
      <c r="J97" s="15" t="str">
        <f t="shared" si="1"/>
        <v>43971Нижний Новгород</v>
      </c>
    </row>
    <row r="98" spans="1:10" ht="14.25" customHeight="1" x14ac:dyDescent="0.25">
      <c r="A98" s="7">
        <v>43956</v>
      </c>
      <c r="B98" s="2" t="s">
        <v>13</v>
      </c>
      <c r="C98" s="2">
        <v>22848</v>
      </c>
      <c r="D98" s="2">
        <v>2079900</v>
      </c>
      <c r="E98" s="3"/>
      <c r="F98" s="3"/>
      <c r="G98" s="3"/>
      <c r="J98" s="15" t="str">
        <f t="shared" si="1"/>
        <v>43956Нижний Новгород</v>
      </c>
    </row>
    <row r="99" spans="1:10" ht="14.25" customHeight="1" x14ac:dyDescent="0.25">
      <c r="A99" s="8">
        <v>43949</v>
      </c>
      <c r="B99" s="4" t="s">
        <v>13</v>
      </c>
      <c r="C99" s="4">
        <v>23314.5</v>
      </c>
      <c r="D99" s="4">
        <v>2136817.5</v>
      </c>
      <c r="E99" s="3"/>
      <c r="F99" s="3"/>
      <c r="G99" s="3"/>
      <c r="J99" s="15" t="str">
        <f t="shared" si="1"/>
        <v>43949Нижний Новгород</v>
      </c>
    </row>
    <row r="100" spans="1:10" ht="14.25" customHeight="1" x14ac:dyDescent="0.25">
      <c r="A100" s="7">
        <v>43964</v>
      </c>
      <c r="B100" s="2" t="s">
        <v>13</v>
      </c>
      <c r="C100" s="2">
        <v>26464.5</v>
      </c>
      <c r="D100" s="2">
        <v>2373337.5</v>
      </c>
      <c r="E100" s="3"/>
      <c r="F100" s="3"/>
      <c r="G100" s="3"/>
      <c r="J100" s="15" t="str">
        <f t="shared" si="1"/>
        <v>43964Нижний Новгород</v>
      </c>
    </row>
    <row r="101" spans="1:10" ht="14.25" customHeight="1" x14ac:dyDescent="0.25">
      <c r="A101" s="8">
        <v>43954</v>
      </c>
      <c r="B101" s="4" t="s">
        <v>13</v>
      </c>
      <c r="C101" s="4">
        <v>23539.5</v>
      </c>
      <c r="D101" s="4">
        <v>2170309.5</v>
      </c>
      <c r="E101" s="3"/>
      <c r="F101" s="3"/>
      <c r="G101" s="3"/>
      <c r="J101" s="15" t="str">
        <f t="shared" si="1"/>
        <v>43954Нижний Новгород</v>
      </c>
    </row>
    <row r="102" spans="1:10" ht="14.25" customHeight="1" x14ac:dyDescent="0.25">
      <c r="A102" s="7">
        <v>43957</v>
      </c>
      <c r="B102" s="2" t="s">
        <v>13</v>
      </c>
      <c r="C102" s="2">
        <v>24678</v>
      </c>
      <c r="D102" s="2">
        <v>2232519</v>
      </c>
      <c r="E102" s="3"/>
      <c r="F102" s="3"/>
      <c r="G102" s="3"/>
      <c r="J102" s="15" t="str">
        <f t="shared" si="1"/>
        <v>43957Нижний Новгород</v>
      </c>
    </row>
    <row r="103" spans="1:10" ht="14.25" customHeight="1" x14ac:dyDescent="0.25">
      <c r="A103" s="8">
        <v>43974</v>
      </c>
      <c r="B103" s="4" t="s">
        <v>13</v>
      </c>
      <c r="C103" s="4">
        <v>38176.5</v>
      </c>
      <c r="D103" s="4">
        <v>3385372.5</v>
      </c>
      <c r="E103" s="3"/>
      <c r="F103" s="3"/>
      <c r="G103" s="3"/>
      <c r="J103" s="15" t="str">
        <f t="shared" si="1"/>
        <v>43974Нижний Новгород</v>
      </c>
    </row>
    <row r="104" spans="1:10" ht="14.25" customHeight="1" x14ac:dyDescent="0.25">
      <c r="A104" s="7">
        <v>43976</v>
      </c>
      <c r="B104" s="2" t="s">
        <v>13</v>
      </c>
      <c r="C104" s="2">
        <v>30603</v>
      </c>
      <c r="D104" s="2">
        <v>2865727.5</v>
      </c>
      <c r="E104" s="3"/>
      <c r="F104" s="3"/>
      <c r="G104" s="3"/>
      <c r="J104" s="15" t="str">
        <f t="shared" si="1"/>
        <v>43976Нижний Новгород</v>
      </c>
    </row>
    <row r="105" spans="1:10" ht="14.25" customHeight="1" x14ac:dyDescent="0.25">
      <c r="A105" s="8">
        <v>43951</v>
      </c>
      <c r="B105" s="4" t="s">
        <v>13</v>
      </c>
      <c r="C105" s="4">
        <v>24211.5</v>
      </c>
      <c r="D105" s="4">
        <v>2267664</v>
      </c>
      <c r="E105" s="3"/>
      <c r="F105" s="3"/>
      <c r="G105" s="3"/>
      <c r="J105" s="15" t="str">
        <f t="shared" si="1"/>
        <v>43951Нижний Новгород</v>
      </c>
    </row>
    <row r="106" spans="1:10" ht="14.25" customHeight="1" x14ac:dyDescent="0.25">
      <c r="A106" s="7">
        <v>43961</v>
      </c>
      <c r="B106" s="2" t="s">
        <v>13</v>
      </c>
      <c r="C106" s="2">
        <v>31399.5</v>
      </c>
      <c r="D106" s="2">
        <v>2862298.5</v>
      </c>
      <c r="E106" s="3"/>
      <c r="F106" s="3"/>
      <c r="G106" s="3"/>
      <c r="J106" s="15" t="str">
        <f t="shared" si="1"/>
        <v>43961Нижний Новгород</v>
      </c>
    </row>
    <row r="107" spans="1:10" ht="14.25" customHeight="1" x14ac:dyDescent="0.25">
      <c r="A107" s="8">
        <v>43959</v>
      </c>
      <c r="B107" s="4" t="s">
        <v>13</v>
      </c>
      <c r="C107" s="4">
        <v>25294.5</v>
      </c>
      <c r="D107" s="4">
        <v>2271454.5</v>
      </c>
      <c r="E107" s="3"/>
      <c r="F107" s="3"/>
      <c r="G107" s="3"/>
      <c r="J107" s="15" t="str">
        <f t="shared" si="1"/>
        <v>43959Нижний Новгород</v>
      </c>
    </row>
    <row r="108" spans="1:10" ht="14.25" customHeight="1" x14ac:dyDescent="0.25">
      <c r="A108" s="7">
        <v>43958</v>
      </c>
      <c r="B108" s="2" t="s">
        <v>13</v>
      </c>
      <c r="C108" s="2">
        <v>25468.5</v>
      </c>
      <c r="D108" s="2">
        <v>2350672.5</v>
      </c>
      <c r="E108" s="3"/>
      <c r="F108" s="3"/>
      <c r="G108" s="3"/>
      <c r="J108" s="15" t="str">
        <f t="shared" si="1"/>
        <v>43958Нижний Новгород</v>
      </c>
    </row>
    <row r="109" spans="1:10" ht="14.25" customHeight="1" x14ac:dyDescent="0.25">
      <c r="A109" s="8">
        <v>43975</v>
      </c>
      <c r="B109" s="4" t="s">
        <v>13</v>
      </c>
      <c r="C109" s="4">
        <v>31854</v>
      </c>
      <c r="D109" s="4">
        <v>2915533.5</v>
      </c>
      <c r="E109" s="3"/>
      <c r="F109" s="3"/>
      <c r="G109" s="3"/>
      <c r="J109" s="15" t="str">
        <f t="shared" si="1"/>
        <v>43975Нижний Новгород</v>
      </c>
    </row>
    <row r="110" spans="1:10" ht="14.25" customHeight="1" x14ac:dyDescent="0.25">
      <c r="A110" s="7">
        <v>43982</v>
      </c>
      <c r="B110" s="2" t="s">
        <v>13</v>
      </c>
      <c r="C110" s="2">
        <v>32359.5</v>
      </c>
      <c r="D110" s="2">
        <v>2991999</v>
      </c>
      <c r="E110" s="3"/>
      <c r="F110" s="3"/>
      <c r="G110" s="3"/>
      <c r="J110" s="15" t="str">
        <f t="shared" si="1"/>
        <v>43982Нижний Новгород</v>
      </c>
    </row>
    <row r="111" spans="1:10" ht="14.25" customHeight="1" x14ac:dyDescent="0.25">
      <c r="A111" s="8">
        <v>43981</v>
      </c>
      <c r="B111" s="4" t="s">
        <v>13</v>
      </c>
      <c r="C111" s="4">
        <v>39867</v>
      </c>
      <c r="D111" s="4">
        <v>3654166.5</v>
      </c>
      <c r="E111" s="3"/>
      <c r="F111" s="3"/>
      <c r="G111" s="3"/>
      <c r="J111" s="15" t="str">
        <f t="shared" si="1"/>
        <v>43981Нижний Новгород</v>
      </c>
    </row>
    <row r="112" spans="1:10" ht="14.25" customHeight="1" x14ac:dyDescent="0.25">
      <c r="A112" s="7">
        <v>43979</v>
      </c>
      <c r="B112" s="2" t="s">
        <v>13</v>
      </c>
      <c r="C112" s="2">
        <v>31974</v>
      </c>
      <c r="D112" s="2">
        <v>3004213.5</v>
      </c>
      <c r="E112" s="3"/>
      <c r="F112" s="3"/>
      <c r="G112" s="3"/>
      <c r="J112" s="15" t="str">
        <f t="shared" si="1"/>
        <v>43979Нижний Новгород</v>
      </c>
    </row>
    <row r="113" spans="1:10" ht="14.25" customHeight="1" x14ac:dyDescent="0.25">
      <c r="A113" s="8">
        <v>43967</v>
      </c>
      <c r="B113" s="4" t="s">
        <v>14</v>
      </c>
      <c r="C113" s="4">
        <v>321412.5</v>
      </c>
      <c r="D113" s="4">
        <v>32235864</v>
      </c>
      <c r="E113" s="3"/>
      <c r="F113" s="3"/>
      <c r="G113" s="3"/>
      <c r="J113" s="15" t="str">
        <f t="shared" si="1"/>
        <v>43967Санкт-Петербург Юг</v>
      </c>
    </row>
    <row r="114" spans="1:10" ht="14.25" customHeight="1" x14ac:dyDescent="0.25">
      <c r="A114" s="7">
        <v>43970</v>
      </c>
      <c r="B114" s="2" t="s">
        <v>14</v>
      </c>
      <c r="C114" s="2">
        <v>276568.5</v>
      </c>
      <c r="D114" s="2">
        <v>27093624</v>
      </c>
      <c r="E114" s="3"/>
      <c r="F114" s="3"/>
      <c r="G114" s="3"/>
      <c r="J114" s="15" t="str">
        <f t="shared" si="1"/>
        <v>43970Санкт-Петербург Юг</v>
      </c>
    </row>
    <row r="115" spans="1:10" ht="14.25" customHeight="1" x14ac:dyDescent="0.25">
      <c r="A115" s="8">
        <v>43968</v>
      </c>
      <c r="B115" s="4" t="s">
        <v>14</v>
      </c>
      <c r="C115" s="4">
        <v>269029.5</v>
      </c>
      <c r="D115" s="4">
        <v>26659930.5</v>
      </c>
      <c r="E115" s="3"/>
      <c r="F115" s="3"/>
      <c r="G115" s="3"/>
      <c r="J115" s="15" t="str">
        <f t="shared" si="1"/>
        <v>43968Санкт-Петербург Юг</v>
      </c>
    </row>
    <row r="116" spans="1:10" ht="14.25" customHeight="1" x14ac:dyDescent="0.25">
      <c r="A116" s="7">
        <v>43960</v>
      </c>
      <c r="B116" s="2" t="s">
        <v>14</v>
      </c>
      <c r="C116" s="2">
        <v>285972</v>
      </c>
      <c r="D116" s="2">
        <v>29768199</v>
      </c>
      <c r="E116" s="3"/>
      <c r="F116" s="3"/>
      <c r="G116" s="3"/>
      <c r="J116" s="15" t="str">
        <f t="shared" si="1"/>
        <v>43960Санкт-Петербург Юг</v>
      </c>
    </row>
    <row r="117" spans="1:10" ht="14.25" customHeight="1" x14ac:dyDescent="0.25">
      <c r="A117" s="8">
        <v>43955</v>
      </c>
      <c r="B117" s="4" t="s">
        <v>14</v>
      </c>
      <c r="C117" s="4">
        <v>283942.5</v>
      </c>
      <c r="D117" s="4">
        <v>29357940</v>
      </c>
      <c r="E117" s="3"/>
      <c r="F117" s="3"/>
      <c r="G117" s="3"/>
      <c r="J117" s="15" t="str">
        <f t="shared" si="1"/>
        <v>43955Санкт-Петербург Юг</v>
      </c>
    </row>
    <row r="118" spans="1:10" ht="14.25" customHeight="1" x14ac:dyDescent="0.25">
      <c r="A118" s="7">
        <v>43950</v>
      </c>
      <c r="B118" s="2" t="s">
        <v>14</v>
      </c>
      <c r="C118" s="2">
        <v>298059</v>
      </c>
      <c r="D118" s="2">
        <v>30869287.5</v>
      </c>
      <c r="E118" s="3"/>
      <c r="F118" s="3"/>
      <c r="G118" s="3"/>
      <c r="J118" s="15" t="str">
        <f t="shared" si="1"/>
        <v>43950Санкт-Петербург Юг</v>
      </c>
    </row>
    <row r="119" spans="1:10" ht="14.25" customHeight="1" x14ac:dyDescent="0.25">
      <c r="A119" s="8">
        <v>43953</v>
      </c>
      <c r="B119" s="4" t="s">
        <v>14</v>
      </c>
      <c r="C119" s="4">
        <v>232903.5</v>
      </c>
      <c r="D119" s="4">
        <v>24342016.5</v>
      </c>
      <c r="E119" s="3"/>
      <c r="F119" s="3"/>
      <c r="G119" s="3"/>
      <c r="J119" s="15" t="str">
        <f t="shared" si="1"/>
        <v>43953Санкт-Петербург Юг</v>
      </c>
    </row>
    <row r="120" spans="1:10" ht="14.25" customHeight="1" x14ac:dyDescent="0.25">
      <c r="A120" s="7">
        <v>43977</v>
      </c>
      <c r="B120" s="2" t="s">
        <v>14</v>
      </c>
      <c r="C120" s="2">
        <v>276966</v>
      </c>
      <c r="D120" s="2">
        <v>27872617.898850001</v>
      </c>
      <c r="E120" s="3"/>
      <c r="F120" s="3"/>
      <c r="G120" s="3"/>
      <c r="J120" s="15" t="str">
        <f t="shared" si="1"/>
        <v>43977Санкт-Петербург Юг</v>
      </c>
    </row>
    <row r="121" spans="1:10" ht="14.25" customHeight="1" x14ac:dyDescent="0.25">
      <c r="A121" s="8">
        <v>43952</v>
      </c>
      <c r="B121" s="4" t="s">
        <v>14</v>
      </c>
      <c r="C121" s="4">
        <v>296149.5</v>
      </c>
      <c r="D121" s="4">
        <v>31053316.5</v>
      </c>
      <c r="E121" s="3"/>
      <c r="F121" s="3"/>
      <c r="G121" s="3"/>
      <c r="J121" s="15" t="str">
        <f t="shared" si="1"/>
        <v>43952Санкт-Петербург Юг</v>
      </c>
    </row>
    <row r="122" spans="1:10" ht="14.25" customHeight="1" x14ac:dyDescent="0.25">
      <c r="A122" s="7">
        <v>43963</v>
      </c>
      <c r="B122" s="2" t="s">
        <v>14</v>
      </c>
      <c r="C122" s="2">
        <v>281796</v>
      </c>
      <c r="D122" s="2">
        <v>29042520</v>
      </c>
      <c r="E122" s="3"/>
      <c r="F122" s="3"/>
      <c r="G122" s="3"/>
      <c r="J122" s="15" t="str">
        <f t="shared" si="1"/>
        <v>43963Санкт-Петербург Юг</v>
      </c>
    </row>
    <row r="123" spans="1:10" ht="14.25" customHeight="1" x14ac:dyDescent="0.25">
      <c r="A123" s="8">
        <v>43972</v>
      </c>
      <c r="B123" s="4" t="s">
        <v>14</v>
      </c>
      <c r="C123" s="4">
        <v>288936</v>
      </c>
      <c r="D123" s="4">
        <v>27852900</v>
      </c>
      <c r="E123" s="3"/>
      <c r="F123" s="3"/>
      <c r="G123" s="3"/>
      <c r="J123" s="15" t="str">
        <f t="shared" si="1"/>
        <v>43972Санкт-Петербург Юг</v>
      </c>
    </row>
    <row r="124" spans="1:10" ht="14.25" customHeight="1" x14ac:dyDescent="0.25">
      <c r="A124" s="7">
        <v>43971</v>
      </c>
      <c r="B124" s="2" t="s">
        <v>14</v>
      </c>
      <c r="C124" s="2">
        <v>300151.5</v>
      </c>
      <c r="D124" s="2">
        <v>29368771.617449999</v>
      </c>
      <c r="E124" s="3"/>
      <c r="F124" s="3"/>
      <c r="G124" s="3"/>
      <c r="J124" s="15" t="str">
        <f t="shared" si="1"/>
        <v>43971Санкт-Петербург Юг</v>
      </c>
    </row>
    <row r="125" spans="1:10" ht="14.25" customHeight="1" x14ac:dyDescent="0.25">
      <c r="A125" s="8">
        <v>43956</v>
      </c>
      <c r="B125" s="4" t="s">
        <v>14</v>
      </c>
      <c r="C125" s="4">
        <v>262734</v>
      </c>
      <c r="D125" s="4">
        <v>27278441.145</v>
      </c>
      <c r="E125" s="3"/>
      <c r="F125" s="3"/>
      <c r="G125" s="3"/>
      <c r="J125" s="15" t="str">
        <f t="shared" si="1"/>
        <v>43956Санкт-Петербург Юг</v>
      </c>
    </row>
    <row r="126" spans="1:10" ht="14.25" customHeight="1" x14ac:dyDescent="0.25">
      <c r="A126" s="7">
        <v>43949</v>
      </c>
      <c r="B126" s="2" t="s">
        <v>14</v>
      </c>
      <c r="C126" s="2">
        <v>286002</v>
      </c>
      <c r="D126" s="2">
        <v>29159032.5</v>
      </c>
      <c r="E126" s="3"/>
      <c r="F126" s="3"/>
      <c r="G126" s="3"/>
      <c r="J126" s="15" t="str">
        <f t="shared" si="1"/>
        <v>43949Санкт-Петербург Юг</v>
      </c>
    </row>
    <row r="127" spans="1:10" ht="14.25" customHeight="1" x14ac:dyDescent="0.25">
      <c r="A127" s="8">
        <v>43964</v>
      </c>
      <c r="B127" s="4" t="s">
        <v>14</v>
      </c>
      <c r="C127" s="4">
        <v>258459</v>
      </c>
      <c r="D127" s="4">
        <v>26467453.5</v>
      </c>
      <c r="E127" s="3"/>
      <c r="F127" s="3"/>
      <c r="G127" s="3"/>
      <c r="J127" s="15" t="str">
        <f t="shared" si="1"/>
        <v>43964Санкт-Петербург Юг</v>
      </c>
    </row>
    <row r="128" spans="1:10" ht="14.25" customHeight="1" x14ac:dyDescent="0.25">
      <c r="A128" s="7">
        <v>43954</v>
      </c>
      <c r="B128" s="2" t="s">
        <v>14</v>
      </c>
      <c r="C128" s="2">
        <v>274083</v>
      </c>
      <c r="D128" s="2">
        <v>28427001</v>
      </c>
      <c r="E128" s="3"/>
      <c r="F128" s="3"/>
      <c r="G128" s="3"/>
      <c r="J128" s="15" t="str">
        <f t="shared" si="1"/>
        <v>43954Санкт-Петербург Юг</v>
      </c>
    </row>
    <row r="129" spans="1:10" ht="14.25" customHeight="1" x14ac:dyDescent="0.25">
      <c r="A129" s="8">
        <v>43957</v>
      </c>
      <c r="B129" s="4" t="s">
        <v>14</v>
      </c>
      <c r="C129" s="4">
        <v>277512</v>
      </c>
      <c r="D129" s="4">
        <v>28770810.105599999</v>
      </c>
      <c r="E129" s="3"/>
      <c r="F129" s="3"/>
      <c r="G129" s="3"/>
      <c r="J129" s="15" t="str">
        <f t="shared" si="1"/>
        <v>43957Санкт-Петербург Юг</v>
      </c>
    </row>
    <row r="130" spans="1:10" ht="14.25" customHeight="1" x14ac:dyDescent="0.25">
      <c r="A130" s="7">
        <v>43974</v>
      </c>
      <c r="B130" s="2" t="s">
        <v>14</v>
      </c>
      <c r="C130" s="2">
        <v>356982</v>
      </c>
      <c r="D130" s="2">
        <v>35103926.711549997</v>
      </c>
      <c r="E130" s="3"/>
      <c r="F130" s="3"/>
      <c r="G130" s="3"/>
      <c r="J130" s="15" t="str">
        <f t="shared" ref="J130:J193" si="2">--A130&amp;B130</f>
        <v>43974Санкт-Петербург Юг</v>
      </c>
    </row>
    <row r="131" spans="1:10" ht="14.25" customHeight="1" x14ac:dyDescent="0.25">
      <c r="A131" s="8">
        <v>43976</v>
      </c>
      <c r="B131" s="4" t="s">
        <v>14</v>
      </c>
      <c r="C131" s="4">
        <v>266983.5</v>
      </c>
      <c r="D131" s="4">
        <v>27165913.5</v>
      </c>
      <c r="E131" s="3"/>
      <c r="F131" s="3"/>
      <c r="G131" s="3"/>
      <c r="J131" s="15" t="str">
        <f t="shared" si="2"/>
        <v>43976Санкт-Петербург Юг</v>
      </c>
    </row>
    <row r="132" spans="1:10" ht="14.25" customHeight="1" x14ac:dyDescent="0.25">
      <c r="A132" s="7">
        <v>43951</v>
      </c>
      <c r="B132" s="2" t="s">
        <v>14</v>
      </c>
      <c r="C132" s="2">
        <v>311131.5</v>
      </c>
      <c r="D132" s="2">
        <v>32418879</v>
      </c>
      <c r="E132" s="3"/>
      <c r="F132" s="3"/>
      <c r="G132" s="3"/>
      <c r="J132" s="15" t="str">
        <f t="shared" si="2"/>
        <v>43951Санкт-Петербург Юг</v>
      </c>
    </row>
    <row r="133" spans="1:10" ht="14.25" customHeight="1" x14ac:dyDescent="0.25">
      <c r="A133" s="8">
        <v>43961</v>
      </c>
      <c r="B133" s="4" t="s">
        <v>14</v>
      </c>
      <c r="C133" s="4">
        <v>287206.5</v>
      </c>
      <c r="D133" s="4">
        <v>29536176.10605</v>
      </c>
      <c r="E133" s="3"/>
      <c r="F133" s="3"/>
      <c r="G133" s="3"/>
      <c r="J133" s="15" t="str">
        <f t="shared" si="2"/>
        <v>43961Санкт-Петербург Юг</v>
      </c>
    </row>
    <row r="134" spans="1:10" ht="14.25" customHeight="1" x14ac:dyDescent="0.25">
      <c r="A134" s="7">
        <v>43959</v>
      </c>
      <c r="B134" s="2" t="s">
        <v>14</v>
      </c>
      <c r="C134" s="2">
        <v>370092</v>
      </c>
      <c r="D134" s="2">
        <v>38091556.5</v>
      </c>
      <c r="E134" s="3"/>
      <c r="F134" s="3"/>
      <c r="G134" s="3"/>
      <c r="J134" s="15" t="str">
        <f t="shared" si="2"/>
        <v>43959Санкт-Петербург Юг</v>
      </c>
    </row>
    <row r="135" spans="1:10" ht="14.25" customHeight="1" x14ac:dyDescent="0.25">
      <c r="A135" s="8">
        <v>43958</v>
      </c>
      <c r="B135" s="4" t="s">
        <v>14</v>
      </c>
      <c r="C135" s="4">
        <v>247813.5</v>
      </c>
      <c r="D135" s="4">
        <v>25325271</v>
      </c>
      <c r="E135" s="3"/>
      <c r="F135" s="3"/>
      <c r="G135" s="3"/>
      <c r="J135" s="15" t="str">
        <f t="shared" si="2"/>
        <v>43958Санкт-Петербург Юг</v>
      </c>
    </row>
    <row r="136" spans="1:10" ht="14.25" customHeight="1" x14ac:dyDescent="0.25">
      <c r="A136" s="7">
        <v>43975</v>
      </c>
      <c r="B136" s="2" t="s">
        <v>14</v>
      </c>
      <c r="C136" s="2">
        <v>287740.5</v>
      </c>
      <c r="D136" s="2">
        <v>28188534</v>
      </c>
      <c r="E136" s="3"/>
      <c r="F136" s="3"/>
      <c r="G136" s="3"/>
      <c r="J136" s="15" t="str">
        <f t="shared" si="2"/>
        <v>43975Санкт-Петербург Юг</v>
      </c>
    </row>
    <row r="137" spans="1:10" ht="14.25" customHeight="1" x14ac:dyDescent="0.25">
      <c r="A137" s="8">
        <v>43967</v>
      </c>
      <c r="B137" s="4" t="s">
        <v>15</v>
      </c>
      <c r="C137" s="4">
        <v>408810</v>
      </c>
      <c r="D137" s="4">
        <v>42323631</v>
      </c>
      <c r="E137" s="3"/>
      <c r="F137" s="3"/>
      <c r="G137" s="3"/>
      <c r="J137" s="15" t="str">
        <f t="shared" si="2"/>
        <v>43967Санкт-Петербург Север</v>
      </c>
    </row>
    <row r="138" spans="1:10" ht="14.25" customHeight="1" x14ac:dyDescent="0.25">
      <c r="A138" s="7">
        <v>43970</v>
      </c>
      <c r="B138" s="2" t="s">
        <v>15</v>
      </c>
      <c r="C138" s="2">
        <v>362536.5</v>
      </c>
      <c r="D138" s="2">
        <v>37023243</v>
      </c>
      <c r="E138" s="3"/>
      <c r="F138" s="3"/>
      <c r="G138" s="3"/>
      <c r="J138" s="15" t="str">
        <f t="shared" si="2"/>
        <v>43970Санкт-Петербург Север</v>
      </c>
    </row>
    <row r="139" spans="1:10" ht="14.25" customHeight="1" x14ac:dyDescent="0.25">
      <c r="A139" s="8">
        <v>43968</v>
      </c>
      <c r="B139" s="4" t="s">
        <v>15</v>
      </c>
      <c r="C139" s="4">
        <v>357072</v>
      </c>
      <c r="D139" s="4">
        <v>36834567</v>
      </c>
      <c r="E139" s="3"/>
      <c r="F139" s="3"/>
      <c r="G139" s="3"/>
      <c r="J139" s="15" t="str">
        <f t="shared" si="2"/>
        <v>43968Санкт-Петербург Север</v>
      </c>
    </row>
    <row r="140" spans="1:10" ht="14.25" customHeight="1" x14ac:dyDescent="0.25">
      <c r="A140" s="7">
        <v>43960</v>
      </c>
      <c r="B140" s="2" t="s">
        <v>15</v>
      </c>
      <c r="C140" s="2">
        <v>359214</v>
      </c>
      <c r="D140" s="2">
        <v>38693427</v>
      </c>
      <c r="E140" s="3"/>
      <c r="F140" s="3"/>
      <c r="G140" s="3"/>
      <c r="J140" s="15" t="str">
        <f t="shared" si="2"/>
        <v>43960Санкт-Петербург Север</v>
      </c>
    </row>
    <row r="141" spans="1:10" ht="14.25" customHeight="1" x14ac:dyDescent="0.25">
      <c r="A141" s="8">
        <v>43955</v>
      </c>
      <c r="B141" s="4" t="s">
        <v>15</v>
      </c>
      <c r="C141" s="4">
        <v>360255</v>
      </c>
      <c r="D141" s="4">
        <v>38406954</v>
      </c>
      <c r="E141" s="3"/>
      <c r="F141" s="3"/>
      <c r="G141" s="3"/>
      <c r="J141" s="15" t="str">
        <f t="shared" si="2"/>
        <v>43955Санкт-Петербург Север</v>
      </c>
    </row>
    <row r="142" spans="1:10" ht="14.25" customHeight="1" x14ac:dyDescent="0.25">
      <c r="A142" s="7">
        <v>43950</v>
      </c>
      <c r="B142" s="2" t="s">
        <v>15</v>
      </c>
      <c r="C142" s="2">
        <v>387220.5</v>
      </c>
      <c r="D142" s="2">
        <v>41559384</v>
      </c>
      <c r="E142" s="3"/>
      <c r="F142" s="3"/>
      <c r="G142" s="3"/>
      <c r="J142" s="15" t="str">
        <f t="shared" si="2"/>
        <v>43950Санкт-Петербург Север</v>
      </c>
    </row>
    <row r="143" spans="1:10" ht="14.25" customHeight="1" x14ac:dyDescent="0.25">
      <c r="A143" s="8">
        <v>43953</v>
      </c>
      <c r="B143" s="4" t="s">
        <v>15</v>
      </c>
      <c r="C143" s="4">
        <v>296580</v>
      </c>
      <c r="D143" s="4">
        <v>31843737</v>
      </c>
      <c r="E143" s="3"/>
      <c r="F143" s="3"/>
      <c r="G143" s="3"/>
      <c r="J143" s="15" t="str">
        <f t="shared" si="2"/>
        <v>43953Санкт-Петербург Север</v>
      </c>
    </row>
    <row r="144" spans="1:10" ht="14.25" customHeight="1" x14ac:dyDescent="0.25">
      <c r="A144" s="7">
        <v>43977</v>
      </c>
      <c r="B144" s="2" t="s">
        <v>15</v>
      </c>
      <c r="C144" s="2">
        <v>369861</v>
      </c>
      <c r="D144" s="2">
        <v>38365960.5</v>
      </c>
      <c r="E144" s="3"/>
      <c r="F144" s="3"/>
      <c r="G144" s="3"/>
      <c r="J144" s="15" t="str">
        <f t="shared" si="2"/>
        <v>43977Санкт-Петербург Север</v>
      </c>
    </row>
    <row r="145" spans="1:10" ht="14.25" customHeight="1" x14ac:dyDescent="0.25">
      <c r="A145" s="8">
        <v>43952</v>
      </c>
      <c r="B145" s="4" t="s">
        <v>15</v>
      </c>
      <c r="C145" s="4">
        <v>372504</v>
      </c>
      <c r="D145" s="4">
        <v>40077193.5</v>
      </c>
      <c r="E145" s="3"/>
      <c r="F145" s="3"/>
      <c r="G145" s="3"/>
      <c r="J145" s="15" t="str">
        <f t="shared" si="2"/>
        <v>43952Санкт-Петербург Север</v>
      </c>
    </row>
    <row r="146" spans="1:10" ht="14.25" customHeight="1" x14ac:dyDescent="0.25">
      <c r="A146" s="7">
        <v>43963</v>
      </c>
      <c r="B146" s="2" t="s">
        <v>15</v>
      </c>
      <c r="C146" s="2">
        <v>373392</v>
      </c>
      <c r="D146" s="2">
        <v>39578577</v>
      </c>
      <c r="E146" s="3"/>
      <c r="F146" s="3"/>
      <c r="G146" s="3"/>
      <c r="J146" s="15" t="str">
        <f t="shared" si="2"/>
        <v>43963Санкт-Петербург Север</v>
      </c>
    </row>
    <row r="147" spans="1:10" ht="14.25" customHeight="1" x14ac:dyDescent="0.25">
      <c r="A147" s="8">
        <v>43972</v>
      </c>
      <c r="B147" s="4" t="s">
        <v>15</v>
      </c>
      <c r="C147" s="4">
        <v>378043.5</v>
      </c>
      <c r="D147" s="4">
        <v>37902156.57</v>
      </c>
      <c r="E147" s="3"/>
      <c r="F147" s="3"/>
      <c r="G147" s="3"/>
      <c r="J147" s="15" t="str">
        <f t="shared" si="2"/>
        <v>43972Санкт-Петербург Север</v>
      </c>
    </row>
    <row r="148" spans="1:10" ht="14.25" customHeight="1" x14ac:dyDescent="0.25">
      <c r="A148" s="7">
        <v>43971</v>
      </c>
      <c r="B148" s="2" t="s">
        <v>15</v>
      </c>
      <c r="C148" s="2">
        <v>388668</v>
      </c>
      <c r="D148" s="2">
        <v>39639309</v>
      </c>
      <c r="E148" s="3"/>
      <c r="F148" s="3"/>
      <c r="G148" s="3"/>
      <c r="J148" s="15" t="str">
        <f t="shared" si="2"/>
        <v>43971Санкт-Петербург Север</v>
      </c>
    </row>
    <row r="149" spans="1:10" ht="14.25" customHeight="1" x14ac:dyDescent="0.25">
      <c r="A149" s="8">
        <v>43956</v>
      </c>
      <c r="B149" s="4" t="s">
        <v>15</v>
      </c>
      <c r="C149" s="4">
        <v>333792</v>
      </c>
      <c r="D149" s="4">
        <v>35671734</v>
      </c>
      <c r="E149" s="3"/>
      <c r="F149" s="3"/>
      <c r="G149" s="3"/>
      <c r="J149" s="15" t="str">
        <f t="shared" si="2"/>
        <v>43956Санкт-Петербург Север</v>
      </c>
    </row>
    <row r="150" spans="1:10" ht="14.25" customHeight="1" x14ac:dyDescent="0.25">
      <c r="A150" s="7">
        <v>43949</v>
      </c>
      <c r="B150" s="2" t="s">
        <v>15</v>
      </c>
      <c r="C150" s="2">
        <v>376060.5</v>
      </c>
      <c r="D150" s="2">
        <v>39918028.5</v>
      </c>
      <c r="E150" s="3"/>
      <c r="F150" s="3"/>
      <c r="G150" s="3"/>
      <c r="J150" s="15" t="str">
        <f t="shared" si="2"/>
        <v>43949Санкт-Петербург Север</v>
      </c>
    </row>
    <row r="151" spans="1:10" ht="14.25" customHeight="1" x14ac:dyDescent="0.25">
      <c r="A151" s="8">
        <v>43964</v>
      </c>
      <c r="B151" s="4" t="s">
        <v>15</v>
      </c>
      <c r="C151" s="4">
        <v>350068.5</v>
      </c>
      <c r="D151" s="4">
        <v>37197115.5</v>
      </c>
      <c r="E151" s="3"/>
      <c r="F151" s="3"/>
      <c r="G151" s="3"/>
      <c r="J151" s="15" t="str">
        <f t="shared" si="2"/>
        <v>43964Санкт-Петербург Север</v>
      </c>
    </row>
    <row r="152" spans="1:10" ht="14.25" customHeight="1" x14ac:dyDescent="0.25">
      <c r="A152" s="7">
        <v>43982</v>
      </c>
      <c r="B152" s="2" t="s">
        <v>14</v>
      </c>
      <c r="C152" s="2">
        <v>294337.5</v>
      </c>
      <c r="D152" s="2">
        <v>29327766</v>
      </c>
      <c r="E152" s="3"/>
      <c r="F152" s="3"/>
      <c r="G152" s="3"/>
      <c r="J152" s="15" t="str">
        <f t="shared" si="2"/>
        <v>43982Санкт-Петербург Юг</v>
      </c>
    </row>
    <row r="153" spans="1:10" ht="14.25" customHeight="1" x14ac:dyDescent="0.25">
      <c r="A153" s="8">
        <v>43954</v>
      </c>
      <c r="B153" s="4" t="s">
        <v>15</v>
      </c>
      <c r="C153" s="4">
        <v>342666</v>
      </c>
      <c r="D153" s="4">
        <v>36631999.5</v>
      </c>
      <c r="E153" s="3"/>
      <c r="F153" s="3"/>
      <c r="G153" s="3"/>
      <c r="J153" s="15" t="str">
        <f t="shared" si="2"/>
        <v>43954Санкт-Петербург Север</v>
      </c>
    </row>
    <row r="154" spans="1:10" ht="14.25" customHeight="1" x14ac:dyDescent="0.25">
      <c r="A154" s="7">
        <v>43981</v>
      </c>
      <c r="B154" s="2" t="s">
        <v>14</v>
      </c>
      <c r="C154" s="2">
        <v>364882.5</v>
      </c>
      <c r="D154" s="2">
        <v>35724493.5</v>
      </c>
      <c r="E154" s="3"/>
      <c r="F154" s="3"/>
      <c r="G154" s="3"/>
      <c r="J154" s="15" t="str">
        <f t="shared" si="2"/>
        <v>43981Санкт-Петербург Юг</v>
      </c>
    </row>
    <row r="155" spans="1:10" ht="14.25" customHeight="1" x14ac:dyDescent="0.25">
      <c r="A155" s="8">
        <v>43957</v>
      </c>
      <c r="B155" s="4" t="s">
        <v>15</v>
      </c>
      <c r="C155" s="4">
        <v>355278</v>
      </c>
      <c r="D155" s="4">
        <v>38092344</v>
      </c>
      <c r="E155" s="3"/>
      <c r="F155" s="3"/>
      <c r="G155" s="3"/>
      <c r="J155" s="15" t="str">
        <f t="shared" si="2"/>
        <v>43957Санкт-Петербург Север</v>
      </c>
    </row>
    <row r="156" spans="1:10" ht="14.25" customHeight="1" x14ac:dyDescent="0.25">
      <c r="A156" s="7">
        <v>43974</v>
      </c>
      <c r="B156" s="2" t="s">
        <v>15</v>
      </c>
      <c r="C156" s="2">
        <v>456885</v>
      </c>
      <c r="D156" s="2">
        <v>46408080</v>
      </c>
      <c r="E156" s="3"/>
      <c r="F156" s="3"/>
      <c r="G156" s="3"/>
      <c r="J156" s="15" t="str">
        <f t="shared" si="2"/>
        <v>43974Санкт-Петербург Север</v>
      </c>
    </row>
    <row r="157" spans="1:10" ht="14.25" customHeight="1" x14ac:dyDescent="0.25">
      <c r="A157" s="8">
        <v>43979</v>
      </c>
      <c r="B157" s="4" t="s">
        <v>14</v>
      </c>
      <c r="C157" s="4">
        <v>278491.5</v>
      </c>
      <c r="D157" s="4">
        <v>28151004.75</v>
      </c>
      <c r="E157" s="3"/>
      <c r="F157" s="3"/>
      <c r="G157" s="3"/>
      <c r="J157" s="15" t="str">
        <f t="shared" si="2"/>
        <v>43979Санкт-Петербург Юг</v>
      </c>
    </row>
    <row r="158" spans="1:10" ht="14.25" customHeight="1" x14ac:dyDescent="0.25">
      <c r="A158" s="7">
        <v>43976</v>
      </c>
      <c r="B158" s="2" t="s">
        <v>15</v>
      </c>
      <c r="C158" s="2">
        <v>349734</v>
      </c>
      <c r="D158" s="2">
        <v>36883428</v>
      </c>
      <c r="E158" s="3"/>
      <c r="F158" s="3"/>
      <c r="G158" s="3"/>
      <c r="J158" s="15" t="str">
        <f t="shared" si="2"/>
        <v>43976Санкт-Петербург Север</v>
      </c>
    </row>
    <row r="159" spans="1:10" ht="14.25" customHeight="1" x14ac:dyDescent="0.25">
      <c r="A159" s="8">
        <v>43951</v>
      </c>
      <c r="B159" s="4" t="s">
        <v>15</v>
      </c>
      <c r="C159" s="4">
        <v>401580</v>
      </c>
      <c r="D159" s="4">
        <v>43028734.5</v>
      </c>
      <c r="E159" s="3"/>
      <c r="F159" s="3"/>
      <c r="G159" s="3"/>
      <c r="J159" s="15" t="str">
        <f t="shared" si="2"/>
        <v>43951Санкт-Петербург Север</v>
      </c>
    </row>
    <row r="160" spans="1:10" ht="14.25" customHeight="1" x14ac:dyDescent="0.25">
      <c r="A160" s="7">
        <v>43961</v>
      </c>
      <c r="B160" s="2" t="s">
        <v>15</v>
      </c>
      <c r="C160" s="2">
        <v>368649</v>
      </c>
      <c r="D160" s="2">
        <v>39010875</v>
      </c>
      <c r="E160" s="3"/>
      <c r="F160" s="3"/>
      <c r="G160" s="3"/>
      <c r="J160" s="15" t="str">
        <f t="shared" si="2"/>
        <v>43961Санкт-Петербург Север</v>
      </c>
    </row>
    <row r="161" spans="1:10" ht="14.25" customHeight="1" x14ac:dyDescent="0.25">
      <c r="A161" s="8">
        <v>43959</v>
      </c>
      <c r="B161" s="4" t="s">
        <v>15</v>
      </c>
      <c r="C161" s="4">
        <v>463530</v>
      </c>
      <c r="D161" s="4">
        <v>49123180.5</v>
      </c>
      <c r="E161" s="3"/>
      <c r="F161" s="3"/>
      <c r="G161" s="3"/>
      <c r="J161" s="15" t="str">
        <f t="shared" si="2"/>
        <v>43959Санкт-Петербург Север</v>
      </c>
    </row>
    <row r="162" spans="1:10" ht="14.25" customHeight="1" x14ac:dyDescent="0.25">
      <c r="A162" s="7">
        <v>43958</v>
      </c>
      <c r="B162" s="2" t="s">
        <v>15</v>
      </c>
      <c r="C162" s="2">
        <v>319110</v>
      </c>
      <c r="D162" s="2">
        <v>33763989</v>
      </c>
      <c r="E162" s="3"/>
      <c r="F162" s="3"/>
      <c r="G162" s="3"/>
      <c r="J162" s="15" t="str">
        <f t="shared" si="2"/>
        <v>43958Санкт-Петербург Север</v>
      </c>
    </row>
    <row r="163" spans="1:10" ht="14.25" customHeight="1" x14ac:dyDescent="0.25">
      <c r="A163" s="8">
        <v>43975</v>
      </c>
      <c r="B163" s="4" t="s">
        <v>15</v>
      </c>
      <c r="C163" s="4">
        <v>375744</v>
      </c>
      <c r="D163" s="4">
        <v>38191381.5</v>
      </c>
      <c r="E163" s="3"/>
      <c r="F163" s="3"/>
      <c r="G163" s="3"/>
      <c r="J163" s="15" t="str">
        <f t="shared" si="2"/>
        <v>43975Санкт-Петербург Север</v>
      </c>
    </row>
    <row r="164" spans="1:10" ht="14.25" customHeight="1" x14ac:dyDescent="0.25">
      <c r="A164" s="7">
        <v>43967</v>
      </c>
      <c r="B164" s="2" t="s">
        <v>16</v>
      </c>
      <c r="C164" s="2">
        <v>81331.5</v>
      </c>
      <c r="D164" s="2">
        <v>6652179</v>
      </c>
      <c r="E164" s="3"/>
      <c r="F164" s="3"/>
      <c r="G164" s="3"/>
      <c r="J164" s="15" t="str">
        <f t="shared" si="2"/>
        <v>43967Волгоград</v>
      </c>
    </row>
    <row r="165" spans="1:10" ht="14.25" customHeight="1" x14ac:dyDescent="0.25">
      <c r="A165" s="8">
        <v>43970</v>
      </c>
      <c r="B165" s="4" t="s">
        <v>16</v>
      </c>
      <c r="C165" s="4">
        <v>75796.5</v>
      </c>
      <c r="D165" s="4">
        <v>6173463</v>
      </c>
      <c r="E165" s="3"/>
      <c r="F165" s="3"/>
      <c r="G165" s="3"/>
      <c r="J165" s="15" t="str">
        <f t="shared" si="2"/>
        <v>43970Волгоград</v>
      </c>
    </row>
    <row r="166" spans="1:10" ht="14.25" customHeight="1" x14ac:dyDescent="0.25">
      <c r="A166" s="7">
        <v>43968</v>
      </c>
      <c r="B166" s="2" t="s">
        <v>16</v>
      </c>
      <c r="C166" s="2">
        <v>72861</v>
      </c>
      <c r="D166" s="2">
        <v>5952802.5</v>
      </c>
      <c r="E166" s="3"/>
      <c r="F166" s="3"/>
      <c r="G166" s="3"/>
      <c r="J166" s="15" t="str">
        <f t="shared" si="2"/>
        <v>43968Волгоград</v>
      </c>
    </row>
    <row r="167" spans="1:10" ht="14.25" customHeight="1" x14ac:dyDescent="0.25">
      <c r="A167" s="8">
        <v>43960</v>
      </c>
      <c r="B167" s="4" t="s">
        <v>16</v>
      </c>
      <c r="C167" s="4">
        <v>83373</v>
      </c>
      <c r="D167" s="4">
        <v>7253427</v>
      </c>
      <c r="E167" s="3"/>
      <c r="F167" s="3"/>
      <c r="G167" s="3"/>
      <c r="J167" s="15" t="str">
        <f t="shared" si="2"/>
        <v>43960Волгоград</v>
      </c>
    </row>
    <row r="168" spans="1:10" ht="14.25" customHeight="1" x14ac:dyDescent="0.25">
      <c r="A168" s="7">
        <v>43955</v>
      </c>
      <c r="B168" s="2" t="s">
        <v>16</v>
      </c>
      <c r="C168" s="2">
        <v>64108.5</v>
      </c>
      <c r="D168" s="2">
        <v>5561452.5</v>
      </c>
      <c r="E168" s="3"/>
      <c r="F168" s="3"/>
      <c r="G168" s="3"/>
      <c r="J168" s="15" t="str">
        <f t="shared" si="2"/>
        <v>43955Волгоград</v>
      </c>
    </row>
    <row r="169" spans="1:10" ht="14.25" customHeight="1" x14ac:dyDescent="0.25">
      <c r="A169" s="8">
        <v>43950</v>
      </c>
      <c r="B169" s="4" t="s">
        <v>16</v>
      </c>
      <c r="C169" s="4">
        <v>74707.5</v>
      </c>
      <c r="D169" s="4">
        <v>6454458</v>
      </c>
      <c r="E169" s="3"/>
      <c r="F169" s="3"/>
      <c r="G169" s="3"/>
      <c r="J169" s="15" t="str">
        <f t="shared" si="2"/>
        <v>43950Волгоград</v>
      </c>
    </row>
    <row r="170" spans="1:10" ht="14.25" customHeight="1" x14ac:dyDescent="0.25">
      <c r="A170" s="7">
        <v>43953</v>
      </c>
      <c r="B170" s="2" t="s">
        <v>16</v>
      </c>
      <c r="C170" s="2">
        <v>46216.5</v>
      </c>
      <c r="D170" s="2">
        <v>4118251.5</v>
      </c>
      <c r="E170" s="3"/>
      <c r="F170" s="3"/>
      <c r="G170" s="3"/>
      <c r="J170" s="15" t="str">
        <f t="shared" si="2"/>
        <v>43953Волгоград</v>
      </c>
    </row>
    <row r="171" spans="1:10" ht="14.25" customHeight="1" x14ac:dyDescent="0.25">
      <c r="A171" s="8">
        <v>43977</v>
      </c>
      <c r="B171" s="4" t="s">
        <v>16</v>
      </c>
      <c r="C171" s="4">
        <v>67726.5</v>
      </c>
      <c r="D171" s="4">
        <v>5864989.5</v>
      </c>
      <c r="E171" s="3"/>
      <c r="F171" s="3"/>
      <c r="G171" s="3"/>
      <c r="J171" s="15" t="str">
        <f t="shared" si="2"/>
        <v>43977Волгоград</v>
      </c>
    </row>
    <row r="172" spans="1:10" ht="14.25" customHeight="1" x14ac:dyDescent="0.25">
      <c r="A172" s="7">
        <v>43952</v>
      </c>
      <c r="B172" s="2" t="s">
        <v>16</v>
      </c>
      <c r="C172" s="2">
        <v>82228.5</v>
      </c>
      <c r="D172" s="2">
        <v>7032225</v>
      </c>
      <c r="E172" s="3"/>
      <c r="F172" s="3"/>
      <c r="G172" s="3"/>
      <c r="J172" s="15" t="str">
        <f t="shared" si="2"/>
        <v>43952Волгоград</v>
      </c>
    </row>
    <row r="173" spans="1:10" ht="14.25" customHeight="1" x14ac:dyDescent="0.25">
      <c r="A173" s="8">
        <v>43963</v>
      </c>
      <c r="B173" s="4" t="s">
        <v>16</v>
      </c>
      <c r="C173" s="4">
        <v>64390.5</v>
      </c>
      <c r="D173" s="4">
        <v>5523145.5</v>
      </c>
      <c r="E173" s="3"/>
      <c r="F173" s="3"/>
      <c r="G173" s="3"/>
      <c r="J173" s="15" t="str">
        <f t="shared" si="2"/>
        <v>43963Волгоград</v>
      </c>
    </row>
    <row r="174" spans="1:10" ht="14.25" customHeight="1" x14ac:dyDescent="0.25">
      <c r="A174" s="7">
        <v>43972</v>
      </c>
      <c r="B174" s="2" t="s">
        <v>16</v>
      </c>
      <c r="C174" s="2">
        <v>73126.5</v>
      </c>
      <c r="D174" s="2">
        <v>5864085</v>
      </c>
      <c r="E174" s="3"/>
      <c r="F174" s="3"/>
      <c r="G174" s="3"/>
      <c r="J174" s="15" t="str">
        <f t="shared" si="2"/>
        <v>43972Волгоград</v>
      </c>
    </row>
    <row r="175" spans="1:10" ht="14.25" customHeight="1" x14ac:dyDescent="0.25">
      <c r="A175" s="8">
        <v>43971</v>
      </c>
      <c r="B175" s="4" t="s">
        <v>16</v>
      </c>
      <c r="C175" s="4">
        <v>99631.5</v>
      </c>
      <c r="D175" s="4">
        <v>7121946</v>
      </c>
      <c r="E175" s="3"/>
      <c r="F175" s="3"/>
      <c r="G175" s="3"/>
      <c r="J175" s="15" t="str">
        <f t="shared" si="2"/>
        <v>43971Волгоград</v>
      </c>
    </row>
    <row r="176" spans="1:10" ht="14.25" customHeight="1" x14ac:dyDescent="0.25">
      <c r="A176" s="7">
        <v>43956</v>
      </c>
      <c r="B176" s="2" t="s">
        <v>16</v>
      </c>
      <c r="C176" s="2">
        <v>66396</v>
      </c>
      <c r="D176" s="2">
        <v>5770539</v>
      </c>
      <c r="E176" s="3"/>
      <c r="F176" s="3"/>
      <c r="G176" s="3"/>
      <c r="J176" s="15" t="str">
        <f t="shared" si="2"/>
        <v>43956Волгоград</v>
      </c>
    </row>
    <row r="177" spans="1:10" ht="14.25" customHeight="1" x14ac:dyDescent="0.25">
      <c r="A177" s="8">
        <v>43949</v>
      </c>
      <c r="B177" s="4" t="s">
        <v>16</v>
      </c>
      <c r="C177" s="4">
        <v>73147.5</v>
      </c>
      <c r="D177" s="4">
        <v>6288246</v>
      </c>
      <c r="E177" s="3"/>
      <c r="F177" s="3"/>
      <c r="G177" s="3"/>
      <c r="J177" s="15" t="str">
        <f t="shared" si="2"/>
        <v>43949Волгоград</v>
      </c>
    </row>
    <row r="178" spans="1:10" ht="14.25" customHeight="1" x14ac:dyDescent="0.25">
      <c r="A178" s="7">
        <v>43964</v>
      </c>
      <c r="B178" s="2" t="s">
        <v>16</v>
      </c>
      <c r="C178" s="2">
        <v>73062</v>
      </c>
      <c r="D178" s="2">
        <v>6333828</v>
      </c>
      <c r="E178" s="3"/>
      <c r="F178" s="3"/>
      <c r="G178" s="3"/>
      <c r="J178" s="15" t="str">
        <f t="shared" si="2"/>
        <v>43964Волгоград</v>
      </c>
    </row>
    <row r="179" spans="1:10" ht="14.25" customHeight="1" x14ac:dyDescent="0.25">
      <c r="A179" s="8">
        <v>43982</v>
      </c>
      <c r="B179" s="4" t="s">
        <v>15</v>
      </c>
      <c r="C179" s="4">
        <v>379663.5</v>
      </c>
      <c r="D179" s="4">
        <v>39380178</v>
      </c>
      <c r="E179" s="3"/>
      <c r="F179" s="3"/>
      <c r="G179" s="3"/>
      <c r="J179" s="15" t="str">
        <f t="shared" si="2"/>
        <v>43982Санкт-Петербург Север</v>
      </c>
    </row>
    <row r="180" spans="1:10" ht="14.25" customHeight="1" x14ac:dyDescent="0.25">
      <c r="A180" s="7">
        <v>43954</v>
      </c>
      <c r="B180" s="2" t="s">
        <v>16</v>
      </c>
      <c r="C180" s="2">
        <v>70581</v>
      </c>
      <c r="D180" s="2">
        <v>6221320.5</v>
      </c>
      <c r="E180" s="3"/>
      <c r="F180" s="3"/>
      <c r="G180" s="3"/>
      <c r="J180" s="15" t="str">
        <f t="shared" si="2"/>
        <v>43954Волгоград</v>
      </c>
    </row>
    <row r="181" spans="1:10" ht="14.25" customHeight="1" x14ac:dyDescent="0.25">
      <c r="A181" s="8">
        <v>43981</v>
      </c>
      <c r="B181" s="4" t="s">
        <v>15</v>
      </c>
      <c r="C181" s="4">
        <v>453123</v>
      </c>
      <c r="D181" s="4">
        <v>46370904</v>
      </c>
      <c r="E181" s="3"/>
      <c r="F181" s="3"/>
      <c r="G181" s="3"/>
      <c r="J181" s="15" t="str">
        <f t="shared" si="2"/>
        <v>43981Санкт-Петербург Север</v>
      </c>
    </row>
    <row r="182" spans="1:10" ht="14.25" customHeight="1" x14ac:dyDescent="0.25">
      <c r="A182" s="7">
        <v>43957</v>
      </c>
      <c r="B182" s="2" t="s">
        <v>16</v>
      </c>
      <c r="C182" s="2">
        <v>63012</v>
      </c>
      <c r="D182" s="2">
        <v>5454121.5</v>
      </c>
      <c r="E182" s="3"/>
      <c r="F182" s="3"/>
      <c r="G182" s="3"/>
      <c r="J182" s="15" t="str">
        <f t="shared" si="2"/>
        <v>43957Волгоград</v>
      </c>
    </row>
    <row r="183" spans="1:10" ht="14.25" customHeight="1" x14ac:dyDescent="0.25">
      <c r="A183" s="8">
        <v>43974</v>
      </c>
      <c r="B183" s="4" t="s">
        <v>16</v>
      </c>
      <c r="C183" s="4">
        <v>89556</v>
      </c>
      <c r="D183" s="4">
        <v>7173117</v>
      </c>
      <c r="E183" s="3"/>
      <c r="F183" s="3"/>
      <c r="G183" s="3"/>
      <c r="J183" s="15" t="str">
        <f t="shared" si="2"/>
        <v>43974Волгоград</v>
      </c>
    </row>
    <row r="184" spans="1:10" ht="14.25" customHeight="1" x14ac:dyDescent="0.25">
      <c r="A184" s="7">
        <v>43979</v>
      </c>
      <c r="B184" s="2" t="s">
        <v>15</v>
      </c>
      <c r="C184" s="2">
        <v>364638</v>
      </c>
      <c r="D184" s="2">
        <v>37947688.5</v>
      </c>
      <c r="E184" s="3"/>
      <c r="F184" s="3"/>
      <c r="G184" s="3"/>
      <c r="J184" s="15" t="str">
        <f t="shared" si="2"/>
        <v>43979Санкт-Петербург Север</v>
      </c>
    </row>
    <row r="185" spans="1:10" ht="14.25" customHeight="1" x14ac:dyDescent="0.25">
      <c r="A185" s="8">
        <v>43976</v>
      </c>
      <c r="B185" s="4" t="s">
        <v>16</v>
      </c>
      <c r="C185" s="4">
        <v>66316.5</v>
      </c>
      <c r="D185" s="4">
        <v>5704650</v>
      </c>
      <c r="E185" s="3"/>
      <c r="F185" s="3"/>
      <c r="G185" s="3"/>
      <c r="J185" s="15" t="str">
        <f t="shared" si="2"/>
        <v>43976Волгоград</v>
      </c>
    </row>
    <row r="186" spans="1:10" ht="14.25" customHeight="1" x14ac:dyDescent="0.25">
      <c r="A186" s="7">
        <v>43951</v>
      </c>
      <c r="B186" s="2" t="s">
        <v>16</v>
      </c>
      <c r="C186" s="2">
        <v>78235.5</v>
      </c>
      <c r="D186" s="2">
        <v>6819594</v>
      </c>
      <c r="E186" s="3"/>
      <c r="F186" s="3"/>
      <c r="G186" s="3"/>
      <c r="J186" s="15" t="str">
        <f t="shared" si="2"/>
        <v>43951Волгоград</v>
      </c>
    </row>
    <row r="187" spans="1:10" ht="14.25" customHeight="1" x14ac:dyDescent="0.25">
      <c r="A187" s="8">
        <v>43961</v>
      </c>
      <c r="B187" s="4" t="s">
        <v>16</v>
      </c>
      <c r="C187" s="4">
        <v>88311</v>
      </c>
      <c r="D187" s="4">
        <v>7726069.5</v>
      </c>
      <c r="E187" s="3"/>
      <c r="F187" s="3"/>
      <c r="G187" s="3"/>
      <c r="J187" s="15" t="str">
        <f t="shared" si="2"/>
        <v>43961Волгоград</v>
      </c>
    </row>
    <row r="188" spans="1:10" ht="14.25" customHeight="1" x14ac:dyDescent="0.25">
      <c r="A188" s="7">
        <v>43959</v>
      </c>
      <c r="B188" s="2" t="s">
        <v>16</v>
      </c>
      <c r="C188" s="2">
        <v>61804.5</v>
      </c>
      <c r="D188" s="2">
        <v>5365708.5</v>
      </c>
      <c r="E188" s="3"/>
      <c r="F188" s="3"/>
      <c r="G188" s="3"/>
      <c r="J188" s="15" t="str">
        <f t="shared" si="2"/>
        <v>43959Волгоград</v>
      </c>
    </row>
    <row r="189" spans="1:10" ht="14.25" customHeight="1" x14ac:dyDescent="0.25">
      <c r="A189" s="8">
        <v>43958</v>
      </c>
      <c r="B189" s="4" t="s">
        <v>16</v>
      </c>
      <c r="C189" s="4">
        <v>71067</v>
      </c>
      <c r="D189" s="4">
        <v>6175837.5</v>
      </c>
      <c r="E189" s="3"/>
      <c r="F189" s="3"/>
      <c r="G189" s="3"/>
      <c r="J189" s="15" t="str">
        <f t="shared" si="2"/>
        <v>43958Волгоград</v>
      </c>
    </row>
    <row r="190" spans="1:10" ht="14.25" customHeight="1" x14ac:dyDescent="0.25">
      <c r="A190" s="7">
        <v>43975</v>
      </c>
      <c r="B190" s="2" t="s">
        <v>16</v>
      </c>
      <c r="C190" s="2">
        <v>74649</v>
      </c>
      <c r="D190" s="2">
        <v>6098236.5</v>
      </c>
      <c r="E190" s="3"/>
      <c r="F190" s="3"/>
      <c r="G190" s="3"/>
      <c r="J190" s="15" t="str">
        <f t="shared" si="2"/>
        <v>43975Волгоград</v>
      </c>
    </row>
    <row r="191" spans="1:10" ht="14.25" customHeight="1" x14ac:dyDescent="0.25">
      <c r="A191" s="8">
        <v>43967</v>
      </c>
      <c r="B191" s="4" t="s">
        <v>17</v>
      </c>
      <c r="C191" s="4">
        <v>44560.5</v>
      </c>
      <c r="D191" s="4">
        <v>4025148</v>
      </c>
      <c r="E191" s="3"/>
      <c r="F191" s="3"/>
      <c r="G191" s="3"/>
      <c r="J191" s="15" t="str">
        <f t="shared" si="2"/>
        <v>43967Казань</v>
      </c>
    </row>
    <row r="192" spans="1:10" ht="14.25" customHeight="1" x14ac:dyDescent="0.25">
      <c r="A192" s="7">
        <v>43970</v>
      </c>
      <c r="B192" s="2" t="s">
        <v>17</v>
      </c>
      <c r="C192" s="2">
        <v>38250</v>
      </c>
      <c r="D192" s="2">
        <v>3552937.5</v>
      </c>
      <c r="E192" s="3"/>
      <c r="F192" s="3"/>
      <c r="G192" s="3"/>
      <c r="J192" s="15" t="str">
        <f t="shared" si="2"/>
        <v>43970Казань</v>
      </c>
    </row>
    <row r="193" spans="1:10" ht="14.25" customHeight="1" x14ac:dyDescent="0.25">
      <c r="A193" s="8">
        <v>43968</v>
      </c>
      <c r="B193" s="4" t="s">
        <v>17</v>
      </c>
      <c r="C193" s="4">
        <v>34830</v>
      </c>
      <c r="D193" s="4">
        <v>3191155.5</v>
      </c>
      <c r="E193" s="3"/>
      <c r="F193" s="3"/>
      <c r="G193" s="3"/>
      <c r="J193" s="15" t="str">
        <f t="shared" si="2"/>
        <v>43968Казань</v>
      </c>
    </row>
    <row r="194" spans="1:10" ht="14.25" customHeight="1" x14ac:dyDescent="0.25">
      <c r="A194" s="7">
        <v>43960</v>
      </c>
      <c r="B194" s="2" t="s">
        <v>17</v>
      </c>
      <c r="C194" s="2">
        <v>32239.5</v>
      </c>
      <c r="D194" s="2">
        <v>3084892.5</v>
      </c>
      <c r="E194" s="3"/>
      <c r="F194" s="3"/>
      <c r="G194" s="3"/>
      <c r="J194" s="15" t="str">
        <f t="shared" ref="J194:J257" si="3">--A194&amp;B194</f>
        <v>43960Казань</v>
      </c>
    </row>
    <row r="195" spans="1:10" ht="14.25" customHeight="1" x14ac:dyDescent="0.25">
      <c r="A195" s="8">
        <v>43955</v>
      </c>
      <c r="B195" s="4" t="s">
        <v>17</v>
      </c>
      <c r="C195" s="4">
        <v>30780</v>
      </c>
      <c r="D195" s="4">
        <v>2817853.5</v>
      </c>
      <c r="E195" s="3"/>
      <c r="F195" s="3"/>
      <c r="G195" s="3"/>
      <c r="J195" s="15" t="str">
        <f t="shared" si="3"/>
        <v>43955Казань</v>
      </c>
    </row>
    <row r="196" spans="1:10" ht="14.25" customHeight="1" x14ac:dyDescent="0.25">
      <c r="A196" s="7">
        <v>43950</v>
      </c>
      <c r="B196" s="2" t="s">
        <v>17</v>
      </c>
      <c r="C196" s="2">
        <v>29142</v>
      </c>
      <c r="D196" s="2">
        <v>2627595</v>
      </c>
      <c r="E196" s="3"/>
      <c r="F196" s="3"/>
      <c r="G196" s="3"/>
      <c r="J196" s="15" t="str">
        <f t="shared" si="3"/>
        <v>43950Казань</v>
      </c>
    </row>
    <row r="197" spans="1:10" ht="14.25" customHeight="1" x14ac:dyDescent="0.25">
      <c r="A197" s="8">
        <v>43953</v>
      </c>
      <c r="B197" s="4" t="s">
        <v>17</v>
      </c>
      <c r="C197" s="4">
        <v>26428.5</v>
      </c>
      <c r="D197" s="4">
        <v>2470465.5</v>
      </c>
      <c r="E197" s="3"/>
      <c r="F197" s="3"/>
      <c r="G197" s="3"/>
      <c r="J197" s="15" t="str">
        <f t="shared" si="3"/>
        <v>43953Казань</v>
      </c>
    </row>
    <row r="198" spans="1:10" ht="14.25" customHeight="1" x14ac:dyDescent="0.25">
      <c r="A198" s="7">
        <v>43977</v>
      </c>
      <c r="B198" s="2" t="s">
        <v>17</v>
      </c>
      <c r="C198" s="2">
        <v>40744.5</v>
      </c>
      <c r="D198" s="2">
        <v>3700311</v>
      </c>
      <c r="E198" s="3"/>
      <c r="F198" s="3"/>
      <c r="G198" s="3"/>
      <c r="J198" s="15" t="str">
        <f t="shared" si="3"/>
        <v>43977Казань</v>
      </c>
    </row>
    <row r="199" spans="1:10" ht="14.25" customHeight="1" x14ac:dyDescent="0.25">
      <c r="A199" s="8">
        <v>43952</v>
      </c>
      <c r="B199" s="4" t="s">
        <v>17</v>
      </c>
      <c r="C199" s="4">
        <v>46620</v>
      </c>
      <c r="D199" s="4">
        <v>4293241.5</v>
      </c>
      <c r="E199" s="3"/>
      <c r="F199" s="3"/>
      <c r="G199" s="3"/>
      <c r="J199" s="15" t="str">
        <f t="shared" si="3"/>
        <v>43952Казань</v>
      </c>
    </row>
    <row r="200" spans="1:10" ht="14.25" customHeight="1" x14ac:dyDescent="0.25">
      <c r="A200" s="7">
        <v>43963</v>
      </c>
      <c r="B200" s="2" t="s">
        <v>17</v>
      </c>
      <c r="C200" s="2">
        <v>32419.5</v>
      </c>
      <c r="D200" s="2">
        <v>3080614.5</v>
      </c>
      <c r="E200" s="3"/>
      <c r="F200" s="3"/>
      <c r="G200" s="3"/>
      <c r="J200" s="15" t="str">
        <f t="shared" si="3"/>
        <v>43963Казань</v>
      </c>
    </row>
    <row r="201" spans="1:10" ht="14.25" customHeight="1" x14ac:dyDescent="0.25">
      <c r="A201" s="8">
        <v>43972</v>
      </c>
      <c r="B201" s="4" t="s">
        <v>17</v>
      </c>
      <c r="C201" s="4">
        <v>40819.5</v>
      </c>
      <c r="D201" s="4">
        <v>3810394.5</v>
      </c>
      <c r="E201" s="3"/>
      <c r="F201" s="3"/>
      <c r="G201" s="3"/>
      <c r="J201" s="15" t="str">
        <f t="shared" si="3"/>
        <v>43972Казань</v>
      </c>
    </row>
    <row r="202" spans="1:10" ht="14.25" customHeight="1" x14ac:dyDescent="0.25">
      <c r="A202" s="7">
        <v>43971</v>
      </c>
      <c r="B202" s="2" t="s">
        <v>17</v>
      </c>
      <c r="C202" s="2">
        <v>41391</v>
      </c>
      <c r="D202" s="2">
        <v>3918987</v>
      </c>
      <c r="E202" s="3"/>
      <c r="F202" s="3"/>
      <c r="G202" s="3"/>
      <c r="J202" s="15" t="str">
        <f t="shared" si="3"/>
        <v>43971Казань</v>
      </c>
    </row>
    <row r="203" spans="1:10" ht="14.25" customHeight="1" x14ac:dyDescent="0.25">
      <c r="A203" s="8">
        <v>43956</v>
      </c>
      <c r="B203" s="4" t="s">
        <v>17</v>
      </c>
      <c r="C203" s="4">
        <v>29482.5</v>
      </c>
      <c r="D203" s="4">
        <v>2648688</v>
      </c>
      <c r="E203" s="3"/>
      <c r="F203" s="3"/>
      <c r="G203" s="3"/>
      <c r="J203" s="15" t="str">
        <f t="shared" si="3"/>
        <v>43956Казань</v>
      </c>
    </row>
    <row r="204" spans="1:10" ht="14.25" customHeight="1" x14ac:dyDescent="0.25">
      <c r="A204" s="7">
        <v>43949</v>
      </c>
      <c r="B204" s="2" t="s">
        <v>17</v>
      </c>
      <c r="C204" s="2">
        <v>32181</v>
      </c>
      <c r="D204" s="2">
        <v>2863600.5</v>
      </c>
      <c r="E204" s="3"/>
      <c r="F204" s="3"/>
      <c r="G204" s="3"/>
      <c r="J204" s="15" t="str">
        <f t="shared" si="3"/>
        <v>43949Казань</v>
      </c>
    </row>
    <row r="205" spans="1:10" ht="14.25" customHeight="1" x14ac:dyDescent="0.25">
      <c r="A205" s="8">
        <v>43964</v>
      </c>
      <c r="B205" s="4" t="s">
        <v>17</v>
      </c>
      <c r="C205" s="4">
        <v>35535</v>
      </c>
      <c r="D205" s="4">
        <v>3288069</v>
      </c>
      <c r="E205" s="3"/>
      <c r="F205" s="3"/>
      <c r="G205" s="3"/>
      <c r="J205" s="15" t="str">
        <f t="shared" si="3"/>
        <v>43964Казань</v>
      </c>
    </row>
    <row r="206" spans="1:10" ht="14.25" customHeight="1" x14ac:dyDescent="0.25">
      <c r="A206" s="7">
        <v>43982</v>
      </c>
      <c r="B206" s="2" t="s">
        <v>16</v>
      </c>
      <c r="C206" s="2">
        <v>76234.5</v>
      </c>
      <c r="D206" s="2">
        <v>6500848.5</v>
      </c>
      <c r="E206" s="3"/>
      <c r="F206" s="3"/>
      <c r="G206" s="3"/>
      <c r="J206" s="15" t="str">
        <f t="shared" si="3"/>
        <v>43982Волгоград</v>
      </c>
    </row>
    <row r="207" spans="1:10" ht="14.25" customHeight="1" x14ac:dyDescent="0.25">
      <c r="A207" s="8">
        <v>43954</v>
      </c>
      <c r="B207" s="4" t="s">
        <v>17</v>
      </c>
      <c r="C207" s="4">
        <v>29935.5</v>
      </c>
      <c r="D207" s="4">
        <v>2720002.5</v>
      </c>
      <c r="E207" s="3"/>
      <c r="F207" s="3"/>
      <c r="G207" s="3"/>
      <c r="J207" s="15" t="str">
        <f t="shared" si="3"/>
        <v>43954Казань</v>
      </c>
    </row>
    <row r="208" spans="1:10" ht="14.25" customHeight="1" x14ac:dyDescent="0.25">
      <c r="A208" s="7">
        <v>43981</v>
      </c>
      <c r="B208" s="2" t="s">
        <v>16</v>
      </c>
      <c r="C208" s="2">
        <v>106926</v>
      </c>
      <c r="D208" s="2">
        <v>9098386.5</v>
      </c>
      <c r="E208" s="3"/>
      <c r="F208" s="3"/>
      <c r="G208" s="3"/>
      <c r="J208" s="15" t="str">
        <f t="shared" si="3"/>
        <v>43981Волгоград</v>
      </c>
    </row>
    <row r="209" spans="1:10" ht="14.25" customHeight="1" x14ac:dyDescent="0.25">
      <c r="A209" s="8">
        <v>43957</v>
      </c>
      <c r="B209" s="4" t="s">
        <v>17</v>
      </c>
      <c r="C209" s="4">
        <v>30342</v>
      </c>
      <c r="D209" s="4">
        <v>2738127</v>
      </c>
      <c r="E209" s="3"/>
      <c r="F209" s="3"/>
      <c r="G209" s="3"/>
      <c r="J209" s="15" t="str">
        <f t="shared" si="3"/>
        <v>43957Казань</v>
      </c>
    </row>
    <row r="210" spans="1:10" ht="14.25" customHeight="1" x14ac:dyDescent="0.25">
      <c r="A210" s="7">
        <v>43974</v>
      </c>
      <c r="B210" s="2" t="s">
        <v>17</v>
      </c>
      <c r="C210" s="2">
        <v>42999</v>
      </c>
      <c r="D210" s="2">
        <v>3883215</v>
      </c>
      <c r="E210" s="3"/>
      <c r="F210" s="3"/>
      <c r="G210" s="3"/>
      <c r="J210" s="15" t="str">
        <f t="shared" si="3"/>
        <v>43974Казань</v>
      </c>
    </row>
    <row r="211" spans="1:10" ht="14.25" customHeight="1" x14ac:dyDescent="0.25">
      <c r="A211" s="8">
        <v>43979</v>
      </c>
      <c r="B211" s="4" t="s">
        <v>16</v>
      </c>
      <c r="C211" s="4">
        <v>69945</v>
      </c>
      <c r="D211" s="4">
        <v>6101931</v>
      </c>
      <c r="E211" s="3"/>
      <c r="F211" s="3"/>
      <c r="G211" s="3"/>
      <c r="J211" s="15" t="str">
        <f t="shared" si="3"/>
        <v>43979Волгоград</v>
      </c>
    </row>
    <row r="212" spans="1:10" ht="14.25" customHeight="1" x14ac:dyDescent="0.25">
      <c r="A212" s="7">
        <v>43976</v>
      </c>
      <c r="B212" s="2" t="s">
        <v>17</v>
      </c>
      <c r="C212" s="2">
        <v>38740.5</v>
      </c>
      <c r="D212" s="2">
        <v>3561655.5</v>
      </c>
      <c r="E212" s="3"/>
      <c r="F212" s="3"/>
      <c r="G212" s="3"/>
      <c r="J212" s="15" t="str">
        <f t="shared" si="3"/>
        <v>43976Казань</v>
      </c>
    </row>
    <row r="213" spans="1:10" ht="14.25" customHeight="1" x14ac:dyDescent="0.25">
      <c r="A213" s="8">
        <v>43951</v>
      </c>
      <c r="B213" s="4" t="s">
        <v>17</v>
      </c>
      <c r="C213" s="4">
        <v>31231.5</v>
      </c>
      <c r="D213" s="4">
        <v>2853310.5</v>
      </c>
      <c r="E213" s="3"/>
      <c r="F213" s="3"/>
      <c r="G213" s="3"/>
      <c r="J213" s="15" t="str">
        <f t="shared" si="3"/>
        <v>43951Казань</v>
      </c>
    </row>
    <row r="214" spans="1:10" ht="14.25" customHeight="1" x14ac:dyDescent="0.25">
      <c r="A214" s="7">
        <v>43961</v>
      </c>
      <c r="B214" s="2" t="s">
        <v>17</v>
      </c>
      <c r="C214" s="2">
        <v>37489.5</v>
      </c>
      <c r="D214" s="2">
        <v>3549097.5</v>
      </c>
      <c r="E214" s="3"/>
      <c r="F214" s="3"/>
      <c r="G214" s="3"/>
      <c r="J214" s="15" t="str">
        <f t="shared" si="3"/>
        <v>43961Казань</v>
      </c>
    </row>
    <row r="215" spans="1:10" ht="14.25" customHeight="1" x14ac:dyDescent="0.25">
      <c r="A215" s="8">
        <v>43959</v>
      </c>
      <c r="B215" s="4" t="s">
        <v>17</v>
      </c>
      <c r="C215" s="4">
        <v>34399.5</v>
      </c>
      <c r="D215" s="4">
        <v>3201358.5</v>
      </c>
      <c r="E215" s="3"/>
      <c r="F215" s="3"/>
      <c r="G215" s="3"/>
      <c r="J215" s="15" t="str">
        <f t="shared" si="3"/>
        <v>43959Казань</v>
      </c>
    </row>
    <row r="216" spans="1:10" ht="14.25" customHeight="1" x14ac:dyDescent="0.25">
      <c r="A216" s="7">
        <v>43958</v>
      </c>
      <c r="B216" s="2" t="s">
        <v>17</v>
      </c>
      <c r="C216" s="2">
        <v>32851.5</v>
      </c>
      <c r="D216" s="2">
        <v>2934504</v>
      </c>
      <c r="E216" s="3"/>
      <c r="F216" s="3"/>
      <c r="G216" s="3"/>
      <c r="J216" s="15" t="str">
        <f t="shared" si="3"/>
        <v>43958Казань</v>
      </c>
    </row>
    <row r="217" spans="1:10" ht="14.25" customHeight="1" x14ac:dyDescent="0.25">
      <c r="A217" s="8">
        <v>43975</v>
      </c>
      <c r="B217" s="4" t="s">
        <v>17</v>
      </c>
      <c r="C217" s="4">
        <v>38194.5</v>
      </c>
      <c r="D217" s="4">
        <v>3449302.5</v>
      </c>
      <c r="E217" s="3"/>
      <c r="F217" s="3"/>
      <c r="G217" s="3"/>
      <c r="J217" s="15" t="str">
        <f t="shared" si="3"/>
        <v>43975Казань</v>
      </c>
    </row>
    <row r="218" spans="1:10" ht="14.25" customHeight="1" x14ac:dyDescent="0.25">
      <c r="A218" s="7">
        <v>43982</v>
      </c>
      <c r="B218" s="2" t="s">
        <v>17</v>
      </c>
      <c r="C218" s="2">
        <v>42423</v>
      </c>
      <c r="D218" s="2">
        <v>3994153.5</v>
      </c>
      <c r="E218" s="3"/>
      <c r="F218" s="3"/>
      <c r="G218" s="3"/>
      <c r="J218" s="15" t="str">
        <f t="shared" si="3"/>
        <v>43982Казань</v>
      </c>
    </row>
    <row r="219" spans="1:10" ht="14.25" customHeight="1" x14ac:dyDescent="0.25">
      <c r="A219" s="8">
        <v>43981</v>
      </c>
      <c r="B219" s="4" t="s">
        <v>17</v>
      </c>
      <c r="C219" s="4">
        <v>48286.5</v>
      </c>
      <c r="D219" s="4">
        <v>4456441.5</v>
      </c>
      <c r="E219" s="3"/>
      <c r="F219" s="3"/>
      <c r="G219" s="3"/>
      <c r="J219" s="15" t="str">
        <f t="shared" si="3"/>
        <v>43981Казань</v>
      </c>
    </row>
    <row r="220" spans="1:10" ht="14.25" customHeight="1" x14ac:dyDescent="0.25">
      <c r="A220" s="7">
        <v>43979</v>
      </c>
      <c r="B220" s="2" t="s">
        <v>17</v>
      </c>
      <c r="C220" s="2">
        <v>41442</v>
      </c>
      <c r="D220" s="2">
        <v>3893680.5</v>
      </c>
      <c r="E220" s="3"/>
      <c r="F220" s="3"/>
      <c r="G220" s="3"/>
      <c r="J220" s="15" t="str">
        <f t="shared" si="3"/>
        <v>43979Казань</v>
      </c>
    </row>
    <row r="221" spans="1:10" ht="14.25" customHeight="1" x14ac:dyDescent="0.25">
      <c r="A221" s="8">
        <v>43967</v>
      </c>
      <c r="B221" s="4" t="s">
        <v>18</v>
      </c>
      <c r="C221" s="4">
        <v>18600</v>
      </c>
      <c r="D221" s="4">
        <v>1601425.5</v>
      </c>
      <c r="E221" s="3"/>
      <c r="F221" s="3"/>
      <c r="G221" s="3"/>
      <c r="J221" s="15" t="str">
        <f t="shared" si="3"/>
        <v>43967Пермь</v>
      </c>
    </row>
    <row r="222" spans="1:10" ht="14.25" customHeight="1" x14ac:dyDescent="0.25">
      <c r="A222" s="7">
        <v>43970</v>
      </c>
      <c r="B222" s="2" t="s">
        <v>18</v>
      </c>
      <c r="C222" s="2">
        <v>16638</v>
      </c>
      <c r="D222" s="2">
        <v>1364847</v>
      </c>
      <c r="E222" s="3"/>
      <c r="F222" s="3"/>
      <c r="G222" s="3"/>
      <c r="J222" s="15" t="str">
        <f t="shared" si="3"/>
        <v>43970Пермь</v>
      </c>
    </row>
    <row r="223" spans="1:10" ht="14.25" customHeight="1" x14ac:dyDescent="0.25">
      <c r="A223" s="8">
        <v>43968</v>
      </c>
      <c r="B223" s="4" t="s">
        <v>18</v>
      </c>
      <c r="C223" s="4">
        <v>15609</v>
      </c>
      <c r="D223" s="4">
        <v>1377577.5</v>
      </c>
      <c r="E223" s="3"/>
      <c r="F223" s="3"/>
      <c r="G223" s="3"/>
      <c r="J223" s="15" t="str">
        <f t="shared" si="3"/>
        <v>43968Пермь</v>
      </c>
    </row>
    <row r="224" spans="1:10" ht="14.25" customHeight="1" x14ac:dyDescent="0.25">
      <c r="A224" s="7">
        <v>43960</v>
      </c>
      <c r="B224" s="2" t="s">
        <v>18</v>
      </c>
      <c r="C224" s="2">
        <v>13948.5</v>
      </c>
      <c r="D224" s="2">
        <v>1222932</v>
      </c>
      <c r="E224" s="3"/>
      <c r="F224" s="3"/>
      <c r="G224" s="3"/>
      <c r="J224" s="15" t="str">
        <f t="shared" si="3"/>
        <v>43960Пермь</v>
      </c>
    </row>
    <row r="225" spans="1:10" ht="14.25" customHeight="1" x14ac:dyDescent="0.25">
      <c r="A225" s="8">
        <v>43955</v>
      </c>
      <c r="B225" s="4" t="s">
        <v>18</v>
      </c>
      <c r="C225" s="4">
        <v>12301.5</v>
      </c>
      <c r="D225" s="4">
        <v>1085211</v>
      </c>
      <c r="E225" s="3"/>
      <c r="F225" s="3"/>
      <c r="G225" s="3"/>
      <c r="J225" s="15" t="str">
        <f t="shared" si="3"/>
        <v>43955Пермь</v>
      </c>
    </row>
    <row r="226" spans="1:10" ht="14.25" customHeight="1" x14ac:dyDescent="0.25">
      <c r="A226" s="7">
        <v>43950</v>
      </c>
      <c r="B226" s="2" t="s">
        <v>18</v>
      </c>
      <c r="C226" s="2">
        <v>13014</v>
      </c>
      <c r="D226" s="2">
        <v>1115992.5</v>
      </c>
      <c r="E226" s="3"/>
      <c r="F226" s="3"/>
      <c r="G226" s="3"/>
      <c r="J226" s="15" t="str">
        <f t="shared" si="3"/>
        <v>43950Пермь</v>
      </c>
    </row>
    <row r="227" spans="1:10" ht="14.25" customHeight="1" x14ac:dyDescent="0.25">
      <c r="A227" s="8">
        <v>43953</v>
      </c>
      <c r="B227" s="4" t="s">
        <v>18</v>
      </c>
      <c r="C227" s="4">
        <v>12313.5</v>
      </c>
      <c r="D227" s="4">
        <v>1053220.5</v>
      </c>
      <c r="E227" s="3"/>
      <c r="F227" s="3"/>
      <c r="G227" s="3"/>
      <c r="J227" s="15" t="str">
        <f t="shared" si="3"/>
        <v>43953Пермь</v>
      </c>
    </row>
    <row r="228" spans="1:10" ht="14.25" customHeight="1" x14ac:dyDescent="0.25">
      <c r="A228" s="7">
        <v>43977</v>
      </c>
      <c r="B228" s="2" t="s">
        <v>18</v>
      </c>
      <c r="C228" s="2">
        <v>17391</v>
      </c>
      <c r="D228" s="2">
        <v>1489132.5</v>
      </c>
      <c r="E228" s="3"/>
      <c r="F228" s="3"/>
      <c r="G228" s="3"/>
      <c r="J228" s="15" t="str">
        <f t="shared" si="3"/>
        <v>43977Пермь</v>
      </c>
    </row>
    <row r="229" spans="1:10" ht="14.25" customHeight="1" x14ac:dyDescent="0.25">
      <c r="A229" s="8">
        <v>43952</v>
      </c>
      <c r="B229" s="4" t="s">
        <v>18</v>
      </c>
      <c r="C229" s="4">
        <v>17113.5</v>
      </c>
      <c r="D229" s="4">
        <v>1465842</v>
      </c>
      <c r="E229" s="3"/>
      <c r="F229" s="3"/>
      <c r="G229" s="3"/>
      <c r="J229" s="15" t="str">
        <f t="shared" si="3"/>
        <v>43952Пермь</v>
      </c>
    </row>
    <row r="230" spans="1:10" ht="14.25" customHeight="1" x14ac:dyDescent="0.25">
      <c r="A230" s="7">
        <v>43963</v>
      </c>
      <c r="B230" s="2" t="s">
        <v>18</v>
      </c>
      <c r="C230" s="2">
        <v>12802.5</v>
      </c>
      <c r="D230" s="2">
        <v>1123830</v>
      </c>
      <c r="E230" s="3"/>
      <c r="F230" s="3"/>
      <c r="G230" s="3"/>
      <c r="J230" s="15" t="str">
        <f t="shared" si="3"/>
        <v>43963Пермь</v>
      </c>
    </row>
    <row r="231" spans="1:10" ht="14.25" customHeight="1" x14ac:dyDescent="0.25">
      <c r="A231" s="8">
        <v>43972</v>
      </c>
      <c r="B231" s="4" t="s">
        <v>18</v>
      </c>
      <c r="C231" s="4">
        <v>16554</v>
      </c>
      <c r="D231" s="4">
        <v>1380751.5</v>
      </c>
      <c r="E231" s="3"/>
      <c r="F231" s="3"/>
      <c r="G231" s="3"/>
      <c r="J231" s="15" t="str">
        <f t="shared" si="3"/>
        <v>43972Пермь</v>
      </c>
    </row>
    <row r="232" spans="1:10" ht="14.25" customHeight="1" x14ac:dyDescent="0.25">
      <c r="A232" s="7">
        <v>43971</v>
      </c>
      <c r="B232" s="2" t="s">
        <v>18</v>
      </c>
      <c r="C232" s="2">
        <v>17329.5</v>
      </c>
      <c r="D232" s="2">
        <v>1430254.5</v>
      </c>
      <c r="E232" s="3"/>
      <c r="F232" s="3"/>
      <c r="G232" s="3"/>
      <c r="J232" s="15" t="str">
        <f t="shared" si="3"/>
        <v>43971Пермь</v>
      </c>
    </row>
    <row r="233" spans="1:10" ht="14.25" customHeight="1" x14ac:dyDescent="0.25">
      <c r="A233" s="8">
        <v>43956</v>
      </c>
      <c r="B233" s="4" t="s">
        <v>18</v>
      </c>
      <c r="C233" s="4">
        <v>15987</v>
      </c>
      <c r="D233" s="4">
        <v>1384179</v>
      </c>
      <c r="E233" s="3"/>
      <c r="F233" s="3"/>
      <c r="G233" s="3"/>
      <c r="J233" s="15" t="str">
        <f t="shared" si="3"/>
        <v>43956Пермь</v>
      </c>
    </row>
    <row r="234" spans="1:10" ht="14.25" customHeight="1" x14ac:dyDescent="0.25">
      <c r="A234" s="7">
        <v>43949</v>
      </c>
      <c r="B234" s="2" t="s">
        <v>18</v>
      </c>
      <c r="C234" s="2">
        <v>13303.5</v>
      </c>
      <c r="D234" s="2">
        <v>1102887</v>
      </c>
      <c r="E234" s="3"/>
      <c r="F234" s="3"/>
      <c r="G234" s="3"/>
      <c r="J234" s="15" t="str">
        <f t="shared" si="3"/>
        <v>43949Пермь</v>
      </c>
    </row>
    <row r="235" spans="1:10" ht="14.25" customHeight="1" x14ac:dyDescent="0.25">
      <c r="A235" s="8">
        <v>43964</v>
      </c>
      <c r="B235" s="4" t="s">
        <v>18</v>
      </c>
      <c r="C235" s="4">
        <v>14305.5</v>
      </c>
      <c r="D235" s="4">
        <v>1243507.5</v>
      </c>
      <c r="E235" s="3"/>
      <c r="F235" s="3"/>
      <c r="G235" s="3"/>
      <c r="J235" s="15" t="str">
        <f t="shared" si="3"/>
        <v>43964Пермь</v>
      </c>
    </row>
    <row r="236" spans="1:10" ht="14.25" customHeight="1" x14ac:dyDescent="0.25">
      <c r="A236" s="7">
        <v>43954</v>
      </c>
      <c r="B236" s="2" t="s">
        <v>18</v>
      </c>
      <c r="C236" s="2">
        <v>12924</v>
      </c>
      <c r="D236" s="2">
        <v>1120009.5</v>
      </c>
      <c r="E236" s="3"/>
      <c r="F236" s="3"/>
      <c r="G236" s="3"/>
      <c r="J236" s="15" t="str">
        <f t="shared" si="3"/>
        <v>43954Пермь</v>
      </c>
    </row>
    <row r="237" spans="1:10" ht="14.25" customHeight="1" x14ac:dyDescent="0.25">
      <c r="A237" s="8">
        <v>43957</v>
      </c>
      <c r="B237" s="4" t="s">
        <v>18</v>
      </c>
      <c r="C237" s="4">
        <v>14061</v>
      </c>
      <c r="D237" s="4">
        <v>1221057</v>
      </c>
      <c r="E237" s="3"/>
      <c r="F237" s="3"/>
      <c r="G237" s="3"/>
      <c r="J237" s="15" t="str">
        <f t="shared" si="3"/>
        <v>43957Пермь</v>
      </c>
    </row>
    <row r="238" spans="1:10" ht="14.25" customHeight="1" x14ac:dyDescent="0.25">
      <c r="A238" s="7">
        <v>43974</v>
      </c>
      <c r="B238" s="2" t="s">
        <v>18</v>
      </c>
      <c r="C238" s="2">
        <v>21958.5</v>
      </c>
      <c r="D238" s="2">
        <v>1854001.5</v>
      </c>
      <c r="E238" s="3"/>
      <c r="F238" s="3"/>
      <c r="G238" s="3"/>
      <c r="J238" s="15" t="str">
        <f t="shared" si="3"/>
        <v>43974Пермь</v>
      </c>
    </row>
    <row r="239" spans="1:10" ht="14.25" customHeight="1" x14ac:dyDescent="0.25">
      <c r="A239" s="8">
        <v>43976</v>
      </c>
      <c r="B239" s="4" t="s">
        <v>18</v>
      </c>
      <c r="C239" s="4">
        <v>17211</v>
      </c>
      <c r="D239" s="4">
        <v>1507867.5</v>
      </c>
      <c r="E239" s="3"/>
      <c r="F239" s="3"/>
      <c r="G239" s="3"/>
      <c r="J239" s="15" t="str">
        <f t="shared" si="3"/>
        <v>43976Пермь</v>
      </c>
    </row>
    <row r="240" spans="1:10" ht="14.25" customHeight="1" x14ac:dyDescent="0.25">
      <c r="A240" s="7">
        <v>43951</v>
      </c>
      <c r="B240" s="2" t="s">
        <v>18</v>
      </c>
      <c r="C240" s="2">
        <v>12753</v>
      </c>
      <c r="D240" s="2">
        <v>1103068.5</v>
      </c>
      <c r="E240" s="3"/>
      <c r="F240" s="3"/>
      <c r="G240" s="3"/>
      <c r="J240" s="15" t="str">
        <f t="shared" si="3"/>
        <v>43951Пермь</v>
      </c>
    </row>
    <row r="241" spans="1:10" ht="14.25" customHeight="1" x14ac:dyDescent="0.25">
      <c r="A241" s="8">
        <v>43961</v>
      </c>
      <c r="B241" s="4" t="s">
        <v>18</v>
      </c>
      <c r="C241" s="4">
        <v>16435.5</v>
      </c>
      <c r="D241" s="4">
        <v>1471537.5</v>
      </c>
      <c r="E241" s="3"/>
      <c r="F241" s="3"/>
      <c r="G241" s="3"/>
      <c r="J241" s="15" t="str">
        <f t="shared" si="3"/>
        <v>43961Пермь</v>
      </c>
    </row>
    <row r="242" spans="1:10" ht="14.25" customHeight="1" x14ac:dyDescent="0.25">
      <c r="A242" s="7">
        <v>43959</v>
      </c>
      <c r="B242" s="2" t="s">
        <v>18</v>
      </c>
      <c r="C242" s="2">
        <v>14494.5</v>
      </c>
      <c r="D242" s="2">
        <v>1269786</v>
      </c>
      <c r="E242" s="3"/>
      <c r="F242" s="3"/>
      <c r="G242" s="3"/>
      <c r="J242" s="15" t="str">
        <f t="shared" si="3"/>
        <v>43959Пермь</v>
      </c>
    </row>
    <row r="243" spans="1:10" ht="14.25" customHeight="1" x14ac:dyDescent="0.25">
      <c r="A243" s="8">
        <v>43958</v>
      </c>
      <c r="B243" s="4" t="s">
        <v>18</v>
      </c>
      <c r="C243" s="4">
        <v>12705</v>
      </c>
      <c r="D243" s="4">
        <v>1123894.5</v>
      </c>
      <c r="E243" s="3"/>
      <c r="F243" s="3"/>
      <c r="G243" s="3"/>
      <c r="J243" s="15" t="str">
        <f t="shared" si="3"/>
        <v>43958Пермь</v>
      </c>
    </row>
    <row r="244" spans="1:10" ht="14.25" customHeight="1" x14ac:dyDescent="0.25">
      <c r="A244" s="7">
        <v>43975</v>
      </c>
      <c r="B244" s="2" t="s">
        <v>18</v>
      </c>
      <c r="C244" s="2">
        <v>18075</v>
      </c>
      <c r="D244" s="2">
        <v>1548099</v>
      </c>
      <c r="E244" s="3"/>
      <c r="F244" s="3"/>
      <c r="G244" s="3"/>
      <c r="J244" s="15" t="str">
        <f t="shared" si="3"/>
        <v>43975Пермь</v>
      </c>
    </row>
    <row r="245" spans="1:10" ht="14.25" customHeight="1" x14ac:dyDescent="0.25">
      <c r="A245" s="8">
        <v>43967</v>
      </c>
      <c r="B245" s="4" t="s">
        <v>19</v>
      </c>
      <c r="C245" s="4">
        <v>13120.5</v>
      </c>
      <c r="D245" s="4">
        <v>1215033</v>
      </c>
      <c r="E245" s="3"/>
      <c r="F245" s="3"/>
      <c r="G245" s="3"/>
      <c r="J245" s="15" t="str">
        <f t="shared" si="3"/>
        <v>43967Ростов-на-Дону</v>
      </c>
    </row>
    <row r="246" spans="1:10" ht="14.25" customHeight="1" x14ac:dyDescent="0.25">
      <c r="A246" s="7">
        <v>43970</v>
      </c>
      <c r="B246" s="2" t="s">
        <v>19</v>
      </c>
      <c r="C246" s="2">
        <v>16237.5</v>
      </c>
      <c r="D246" s="2">
        <v>1403047.5</v>
      </c>
      <c r="E246" s="3"/>
      <c r="F246" s="3"/>
      <c r="G246" s="3"/>
      <c r="J246" s="15" t="str">
        <f t="shared" si="3"/>
        <v>43970Ростов-на-Дону</v>
      </c>
    </row>
    <row r="247" spans="1:10" ht="14.25" customHeight="1" x14ac:dyDescent="0.25">
      <c r="A247" s="8">
        <v>43968</v>
      </c>
      <c r="B247" s="4" t="s">
        <v>19</v>
      </c>
      <c r="C247" s="4">
        <v>11967</v>
      </c>
      <c r="D247" s="4">
        <v>1060489.5</v>
      </c>
      <c r="E247" s="3"/>
      <c r="F247" s="3"/>
      <c r="G247" s="3"/>
      <c r="J247" s="15" t="str">
        <f t="shared" si="3"/>
        <v>43968Ростов-на-Дону</v>
      </c>
    </row>
    <row r="248" spans="1:10" ht="14.25" customHeight="1" x14ac:dyDescent="0.25">
      <c r="A248" s="7">
        <v>43960</v>
      </c>
      <c r="B248" s="2" t="s">
        <v>19</v>
      </c>
      <c r="C248" s="2">
        <v>12037.5</v>
      </c>
      <c r="D248" s="2">
        <v>1081216.5</v>
      </c>
      <c r="E248" s="3"/>
      <c r="F248" s="3"/>
      <c r="G248" s="3"/>
      <c r="J248" s="15" t="str">
        <f t="shared" si="3"/>
        <v>43960Ростов-на-Дону</v>
      </c>
    </row>
    <row r="249" spans="1:10" ht="14.25" customHeight="1" x14ac:dyDescent="0.25">
      <c r="A249" s="8">
        <v>43955</v>
      </c>
      <c r="B249" s="4" t="s">
        <v>19</v>
      </c>
      <c r="C249" s="4">
        <v>7087.5</v>
      </c>
      <c r="D249" s="4">
        <v>610855.5</v>
      </c>
      <c r="E249" s="3"/>
      <c r="F249" s="3"/>
      <c r="G249" s="3"/>
      <c r="J249" s="15" t="str">
        <f t="shared" si="3"/>
        <v>43955Ростов-на-Дону</v>
      </c>
    </row>
    <row r="250" spans="1:10" ht="14.25" customHeight="1" x14ac:dyDescent="0.25">
      <c r="A250" s="7">
        <v>43950</v>
      </c>
      <c r="B250" s="2" t="s">
        <v>20</v>
      </c>
      <c r="C250" s="2">
        <v>25816.5</v>
      </c>
      <c r="D250" s="2">
        <v>2360914.5</v>
      </c>
      <c r="E250" s="3"/>
      <c r="F250" s="3"/>
      <c r="G250" s="3"/>
      <c r="J250" s="15" t="str">
        <f t="shared" si="3"/>
        <v>43950Краснодар</v>
      </c>
    </row>
    <row r="251" spans="1:10" ht="14.25" customHeight="1" x14ac:dyDescent="0.25">
      <c r="A251" s="8">
        <v>43953</v>
      </c>
      <c r="B251" s="4" t="s">
        <v>19</v>
      </c>
      <c r="C251" s="4">
        <v>4624.5</v>
      </c>
      <c r="D251" s="4">
        <v>433243.5</v>
      </c>
      <c r="E251" s="3"/>
      <c r="F251" s="3"/>
      <c r="G251" s="3"/>
      <c r="J251" s="15" t="str">
        <f t="shared" si="3"/>
        <v>43953Ростов-на-Дону</v>
      </c>
    </row>
    <row r="252" spans="1:10" ht="14.25" customHeight="1" x14ac:dyDescent="0.25">
      <c r="A252" s="7">
        <v>43977</v>
      </c>
      <c r="B252" s="2" t="s">
        <v>19</v>
      </c>
      <c r="C252" s="2">
        <v>12259.5</v>
      </c>
      <c r="D252" s="2">
        <v>1152054</v>
      </c>
      <c r="E252" s="3"/>
      <c r="F252" s="3"/>
      <c r="G252" s="3"/>
      <c r="J252" s="15" t="str">
        <f t="shared" si="3"/>
        <v>43977Ростов-на-Дону</v>
      </c>
    </row>
    <row r="253" spans="1:10" ht="14.25" customHeight="1" x14ac:dyDescent="0.25">
      <c r="A253" s="8">
        <v>43952</v>
      </c>
      <c r="B253" s="4" t="s">
        <v>19</v>
      </c>
      <c r="C253" s="4">
        <v>5446.5</v>
      </c>
      <c r="D253" s="4">
        <v>505572</v>
      </c>
      <c r="E253" s="3"/>
      <c r="F253" s="3"/>
      <c r="G253" s="3"/>
      <c r="J253" s="15" t="str">
        <f t="shared" si="3"/>
        <v>43952Ростов-на-Дону</v>
      </c>
    </row>
    <row r="254" spans="1:10" ht="14.25" customHeight="1" x14ac:dyDescent="0.25">
      <c r="A254" s="7">
        <v>43963</v>
      </c>
      <c r="B254" s="2" t="s">
        <v>19</v>
      </c>
      <c r="C254" s="2">
        <v>11296.5</v>
      </c>
      <c r="D254" s="2">
        <v>989632.5</v>
      </c>
      <c r="E254" s="3"/>
      <c r="F254" s="3"/>
      <c r="G254" s="3"/>
      <c r="J254" s="15" t="str">
        <f t="shared" si="3"/>
        <v>43963Ростов-на-Дону</v>
      </c>
    </row>
    <row r="255" spans="1:10" ht="14.25" customHeight="1" x14ac:dyDescent="0.25">
      <c r="A255" s="8">
        <v>43972</v>
      </c>
      <c r="B255" s="4" t="s">
        <v>19</v>
      </c>
      <c r="C255" s="4">
        <v>12135</v>
      </c>
      <c r="D255" s="4">
        <v>1103623.5</v>
      </c>
      <c r="E255" s="3"/>
      <c r="F255" s="3"/>
      <c r="G255" s="3"/>
      <c r="J255" s="15" t="str">
        <f t="shared" si="3"/>
        <v>43972Ростов-на-Дону</v>
      </c>
    </row>
    <row r="256" spans="1:10" ht="14.25" customHeight="1" x14ac:dyDescent="0.25">
      <c r="A256" s="7">
        <v>43971</v>
      </c>
      <c r="B256" s="2" t="s">
        <v>19</v>
      </c>
      <c r="C256" s="2">
        <v>12630</v>
      </c>
      <c r="D256" s="2">
        <v>1104858</v>
      </c>
      <c r="E256" s="3"/>
      <c r="F256" s="3"/>
      <c r="G256" s="3"/>
      <c r="J256" s="15" t="str">
        <f t="shared" si="3"/>
        <v>43971Ростов-на-Дону</v>
      </c>
    </row>
    <row r="257" spans="1:10" ht="14.25" customHeight="1" x14ac:dyDescent="0.25">
      <c r="A257" s="8">
        <v>43956</v>
      </c>
      <c r="B257" s="4" t="s">
        <v>19</v>
      </c>
      <c r="C257" s="4">
        <v>8223</v>
      </c>
      <c r="D257" s="4">
        <v>694593</v>
      </c>
      <c r="E257" s="3"/>
      <c r="F257" s="3"/>
      <c r="G257" s="3"/>
      <c r="J257" s="15" t="str">
        <f t="shared" si="3"/>
        <v>43956Ростов-на-Дону</v>
      </c>
    </row>
    <row r="258" spans="1:10" ht="14.25" customHeight="1" x14ac:dyDescent="0.25">
      <c r="A258" s="7">
        <v>43949</v>
      </c>
      <c r="B258" s="2" t="s">
        <v>20</v>
      </c>
      <c r="C258" s="2">
        <v>25149</v>
      </c>
      <c r="D258" s="2">
        <v>2277072</v>
      </c>
      <c r="E258" s="3"/>
      <c r="F258" s="3"/>
      <c r="G258" s="3"/>
      <c r="J258" s="15" t="str">
        <f t="shared" ref="J258:J321" si="4">--A258&amp;B258</f>
        <v>43949Краснодар</v>
      </c>
    </row>
    <row r="259" spans="1:10" ht="14.25" customHeight="1" x14ac:dyDescent="0.25">
      <c r="A259" s="8">
        <v>43964</v>
      </c>
      <c r="B259" s="4" t="s">
        <v>19</v>
      </c>
      <c r="C259" s="4">
        <v>10401</v>
      </c>
      <c r="D259" s="4">
        <v>949912.5</v>
      </c>
      <c r="E259" s="3"/>
      <c r="F259" s="3"/>
      <c r="G259" s="3"/>
      <c r="J259" s="15" t="str">
        <f t="shared" si="4"/>
        <v>43964Ростов-на-Дону</v>
      </c>
    </row>
    <row r="260" spans="1:10" ht="14.25" customHeight="1" x14ac:dyDescent="0.25">
      <c r="A260" s="7">
        <v>43982</v>
      </c>
      <c r="B260" s="2" t="s">
        <v>18</v>
      </c>
      <c r="C260" s="2">
        <v>17689.5</v>
      </c>
      <c r="D260" s="2">
        <v>1592119.5</v>
      </c>
      <c r="E260" s="3"/>
      <c r="F260" s="3"/>
      <c r="G260" s="3"/>
      <c r="J260" s="15" t="str">
        <f t="shared" si="4"/>
        <v>43982Пермь</v>
      </c>
    </row>
    <row r="261" spans="1:10" ht="14.25" customHeight="1" x14ac:dyDescent="0.25">
      <c r="A261" s="8">
        <v>43954</v>
      </c>
      <c r="B261" s="4" t="s">
        <v>19</v>
      </c>
      <c r="C261" s="4">
        <v>8127</v>
      </c>
      <c r="D261" s="4">
        <v>665302.5</v>
      </c>
      <c r="E261" s="3"/>
      <c r="F261" s="3"/>
      <c r="G261" s="3"/>
      <c r="J261" s="15" t="str">
        <f t="shared" si="4"/>
        <v>43954Ростов-на-Дону</v>
      </c>
    </row>
    <row r="262" spans="1:10" ht="14.25" customHeight="1" x14ac:dyDescent="0.25">
      <c r="A262" s="7">
        <v>43981</v>
      </c>
      <c r="B262" s="2" t="s">
        <v>18</v>
      </c>
      <c r="C262" s="2">
        <v>27250.5</v>
      </c>
      <c r="D262" s="2">
        <v>2457252</v>
      </c>
      <c r="E262" s="3"/>
      <c r="F262" s="3"/>
      <c r="G262" s="3"/>
      <c r="J262" s="15" t="str">
        <f t="shared" si="4"/>
        <v>43981Пермь</v>
      </c>
    </row>
    <row r="263" spans="1:10" ht="14.25" customHeight="1" x14ac:dyDescent="0.25">
      <c r="A263" s="8">
        <v>43957</v>
      </c>
      <c r="B263" s="4" t="s">
        <v>19</v>
      </c>
      <c r="C263" s="4">
        <v>8464.5</v>
      </c>
      <c r="D263" s="4">
        <v>739291.5</v>
      </c>
      <c r="E263" s="3"/>
      <c r="F263" s="3"/>
      <c r="G263" s="3"/>
      <c r="J263" s="15" t="str">
        <f t="shared" si="4"/>
        <v>43957Ростов-на-Дону</v>
      </c>
    </row>
    <row r="264" spans="1:10" ht="14.25" customHeight="1" x14ac:dyDescent="0.25">
      <c r="A264" s="7">
        <v>43974</v>
      </c>
      <c r="B264" s="2" t="s">
        <v>19</v>
      </c>
      <c r="C264" s="2">
        <v>14167.5</v>
      </c>
      <c r="D264" s="2">
        <v>1315075.5</v>
      </c>
      <c r="E264" s="3"/>
      <c r="F264" s="3"/>
      <c r="G264" s="3"/>
      <c r="J264" s="15" t="str">
        <f t="shared" si="4"/>
        <v>43974Ростов-на-Дону</v>
      </c>
    </row>
    <row r="265" spans="1:10" ht="14.25" customHeight="1" x14ac:dyDescent="0.25">
      <c r="A265" s="8">
        <v>43979</v>
      </c>
      <c r="B265" s="4" t="s">
        <v>18</v>
      </c>
      <c r="C265" s="4">
        <v>16500</v>
      </c>
      <c r="D265" s="4">
        <v>1487928</v>
      </c>
      <c r="E265" s="3"/>
      <c r="F265" s="3"/>
      <c r="G265" s="3"/>
      <c r="J265" s="15" t="str">
        <f t="shared" si="4"/>
        <v>43979Пермь</v>
      </c>
    </row>
    <row r="266" spans="1:10" ht="14.25" customHeight="1" x14ac:dyDescent="0.25">
      <c r="A266" s="7">
        <v>43976</v>
      </c>
      <c r="B266" s="2" t="s">
        <v>19</v>
      </c>
      <c r="C266" s="2">
        <v>13260</v>
      </c>
      <c r="D266" s="2">
        <v>1230687</v>
      </c>
      <c r="E266" s="3"/>
      <c r="F266" s="3"/>
      <c r="G266" s="3"/>
      <c r="J266" s="15" t="str">
        <f t="shared" si="4"/>
        <v>43976Ростов-на-Дону</v>
      </c>
    </row>
    <row r="267" spans="1:10" ht="14.25" customHeight="1" x14ac:dyDescent="0.25">
      <c r="A267" s="8">
        <v>43951</v>
      </c>
      <c r="B267" s="4" t="s">
        <v>19</v>
      </c>
      <c r="C267" s="4">
        <v>4285.5</v>
      </c>
      <c r="D267" s="4">
        <v>404691</v>
      </c>
      <c r="E267" s="3"/>
      <c r="F267" s="3"/>
      <c r="G267" s="3"/>
      <c r="J267" s="15" t="str">
        <f t="shared" si="4"/>
        <v>43951Ростов-на-Дону</v>
      </c>
    </row>
    <row r="268" spans="1:10" ht="14.25" customHeight="1" x14ac:dyDescent="0.25">
      <c r="A268" s="7">
        <v>43961</v>
      </c>
      <c r="B268" s="2" t="s">
        <v>19</v>
      </c>
      <c r="C268" s="2">
        <v>13440</v>
      </c>
      <c r="D268" s="2">
        <v>1198285.5</v>
      </c>
      <c r="E268" s="3"/>
      <c r="F268" s="3"/>
      <c r="G268" s="3"/>
      <c r="J268" s="15" t="str">
        <f t="shared" si="4"/>
        <v>43961Ростов-на-Дону</v>
      </c>
    </row>
    <row r="269" spans="1:10" ht="14.25" customHeight="1" x14ac:dyDescent="0.25">
      <c r="A269" s="8">
        <v>43959</v>
      </c>
      <c r="B269" s="4" t="s">
        <v>19</v>
      </c>
      <c r="C269" s="4">
        <v>9058.5</v>
      </c>
      <c r="D269" s="4">
        <v>798759</v>
      </c>
      <c r="E269" s="3"/>
      <c r="F269" s="3"/>
      <c r="G269" s="3"/>
      <c r="J269" s="15" t="str">
        <f t="shared" si="4"/>
        <v>43959Ростов-на-Дону</v>
      </c>
    </row>
    <row r="270" spans="1:10" ht="14.25" customHeight="1" x14ac:dyDescent="0.25">
      <c r="A270" s="7">
        <v>43958</v>
      </c>
      <c r="B270" s="2" t="s">
        <v>19</v>
      </c>
      <c r="C270" s="2">
        <v>8719.5</v>
      </c>
      <c r="D270" s="2">
        <v>769276.5</v>
      </c>
      <c r="E270" s="3"/>
      <c r="F270" s="3"/>
      <c r="G270" s="3"/>
      <c r="J270" s="15" t="str">
        <f t="shared" si="4"/>
        <v>43958Ростов-на-Дону</v>
      </c>
    </row>
    <row r="271" spans="1:10" ht="14.25" customHeight="1" x14ac:dyDescent="0.25">
      <c r="A271" s="8">
        <v>43975</v>
      </c>
      <c r="B271" s="4" t="s">
        <v>19</v>
      </c>
      <c r="C271" s="4">
        <v>12666</v>
      </c>
      <c r="D271" s="4">
        <v>1184865</v>
      </c>
      <c r="E271" s="3"/>
      <c r="F271" s="3"/>
      <c r="G271" s="3"/>
      <c r="J271" s="15" t="str">
        <f t="shared" si="4"/>
        <v>43975Ростов-на-Дону</v>
      </c>
    </row>
    <row r="272" spans="1:10" ht="14.25" customHeight="1" x14ac:dyDescent="0.25">
      <c r="A272" s="7">
        <v>43967</v>
      </c>
      <c r="B272" s="2" t="s">
        <v>20</v>
      </c>
      <c r="C272" s="2">
        <v>34563</v>
      </c>
      <c r="D272" s="2">
        <v>2922883.5</v>
      </c>
      <c r="E272" s="3"/>
      <c r="F272" s="3"/>
      <c r="G272" s="3"/>
      <c r="J272" s="15" t="str">
        <f t="shared" si="4"/>
        <v>43967Краснодар</v>
      </c>
    </row>
    <row r="273" spans="1:10" ht="14.25" customHeight="1" x14ac:dyDescent="0.25">
      <c r="A273" s="8">
        <v>43970</v>
      </c>
      <c r="B273" s="4" t="s">
        <v>20</v>
      </c>
      <c r="C273" s="4">
        <v>28882.5</v>
      </c>
      <c r="D273" s="4">
        <v>2446530</v>
      </c>
      <c r="E273" s="3"/>
      <c r="F273" s="3"/>
      <c r="G273" s="3"/>
      <c r="J273" s="15" t="str">
        <f t="shared" si="4"/>
        <v>43970Краснодар</v>
      </c>
    </row>
    <row r="274" spans="1:10" ht="14.25" customHeight="1" x14ac:dyDescent="0.25">
      <c r="A274" s="7">
        <v>43968</v>
      </c>
      <c r="B274" s="2" t="s">
        <v>20</v>
      </c>
      <c r="C274" s="2">
        <v>28275</v>
      </c>
      <c r="D274" s="2">
        <v>2435632.5</v>
      </c>
      <c r="E274" s="3"/>
      <c r="F274" s="3"/>
      <c r="G274" s="3"/>
      <c r="J274" s="15" t="str">
        <f t="shared" si="4"/>
        <v>43968Краснодар</v>
      </c>
    </row>
    <row r="275" spans="1:10" ht="14.25" customHeight="1" x14ac:dyDescent="0.25">
      <c r="A275" s="8">
        <v>43960</v>
      </c>
      <c r="B275" s="4" t="s">
        <v>20</v>
      </c>
      <c r="C275" s="4">
        <v>26271</v>
      </c>
      <c r="D275" s="4">
        <v>2384937</v>
      </c>
      <c r="E275" s="3"/>
      <c r="F275" s="3"/>
      <c r="G275" s="3"/>
      <c r="J275" s="15" t="str">
        <f t="shared" si="4"/>
        <v>43960Краснодар</v>
      </c>
    </row>
    <row r="276" spans="1:10" ht="14.25" customHeight="1" x14ac:dyDescent="0.25">
      <c r="A276" s="7">
        <v>43955</v>
      </c>
      <c r="B276" s="2" t="s">
        <v>20</v>
      </c>
      <c r="C276" s="2">
        <v>23587.5</v>
      </c>
      <c r="D276" s="2">
        <v>2155668</v>
      </c>
      <c r="E276" s="3"/>
      <c r="F276" s="3"/>
      <c r="G276" s="3"/>
      <c r="J276" s="15" t="str">
        <f t="shared" si="4"/>
        <v>43955Краснодар</v>
      </c>
    </row>
    <row r="277" spans="1:10" ht="14.25" customHeight="1" x14ac:dyDescent="0.25">
      <c r="A277" s="8">
        <v>43953</v>
      </c>
      <c r="B277" s="4" t="s">
        <v>20</v>
      </c>
      <c r="C277" s="4">
        <v>18427.5</v>
      </c>
      <c r="D277" s="4">
        <v>1682851.5</v>
      </c>
      <c r="E277" s="3"/>
      <c r="F277" s="3"/>
      <c r="G277" s="3"/>
      <c r="J277" s="15" t="str">
        <f t="shared" si="4"/>
        <v>43953Краснодар</v>
      </c>
    </row>
    <row r="278" spans="1:10" ht="14.25" customHeight="1" x14ac:dyDescent="0.25">
      <c r="A278" s="7">
        <v>43977</v>
      </c>
      <c r="B278" s="2" t="s">
        <v>20</v>
      </c>
      <c r="C278" s="2">
        <v>27156</v>
      </c>
      <c r="D278" s="2">
        <v>2410803</v>
      </c>
      <c r="E278" s="3"/>
      <c r="F278" s="3"/>
      <c r="G278" s="3"/>
      <c r="J278" s="15" t="str">
        <f t="shared" si="4"/>
        <v>43977Краснодар</v>
      </c>
    </row>
    <row r="279" spans="1:10" ht="14.25" customHeight="1" x14ac:dyDescent="0.25">
      <c r="A279" s="8">
        <v>43952</v>
      </c>
      <c r="B279" s="4" t="s">
        <v>20</v>
      </c>
      <c r="C279" s="4">
        <v>35190</v>
      </c>
      <c r="D279" s="4">
        <v>3168510</v>
      </c>
      <c r="E279" s="3"/>
      <c r="F279" s="3"/>
      <c r="G279" s="3"/>
      <c r="J279" s="15" t="str">
        <f t="shared" si="4"/>
        <v>43952Краснодар</v>
      </c>
    </row>
    <row r="280" spans="1:10" ht="14.25" customHeight="1" x14ac:dyDescent="0.25">
      <c r="A280" s="7">
        <v>43963</v>
      </c>
      <c r="B280" s="2" t="s">
        <v>20</v>
      </c>
      <c r="C280" s="2">
        <v>25483.5</v>
      </c>
      <c r="D280" s="2">
        <v>2243160</v>
      </c>
      <c r="E280" s="3"/>
      <c r="F280" s="3"/>
      <c r="G280" s="3"/>
      <c r="J280" s="15" t="str">
        <f t="shared" si="4"/>
        <v>43963Краснодар</v>
      </c>
    </row>
    <row r="281" spans="1:10" ht="14.25" customHeight="1" x14ac:dyDescent="0.25">
      <c r="A281" s="8">
        <v>43972</v>
      </c>
      <c r="B281" s="4" t="s">
        <v>20</v>
      </c>
      <c r="C281" s="4">
        <v>25362</v>
      </c>
      <c r="D281" s="4">
        <v>2198935.5</v>
      </c>
      <c r="E281" s="3"/>
      <c r="F281" s="3"/>
      <c r="G281" s="3"/>
      <c r="J281" s="15" t="str">
        <f t="shared" si="4"/>
        <v>43972Краснодар</v>
      </c>
    </row>
    <row r="282" spans="1:10" ht="14.25" customHeight="1" x14ac:dyDescent="0.25">
      <c r="A282" s="7">
        <v>43971</v>
      </c>
      <c r="B282" s="2" t="s">
        <v>20</v>
      </c>
      <c r="C282" s="2">
        <v>28849.5</v>
      </c>
      <c r="D282" s="2">
        <v>2520759</v>
      </c>
      <c r="E282" s="3"/>
      <c r="F282" s="3"/>
      <c r="G282" s="3"/>
      <c r="J282" s="15" t="str">
        <f t="shared" si="4"/>
        <v>43971Краснодар</v>
      </c>
    </row>
    <row r="283" spans="1:10" ht="14.25" customHeight="1" x14ac:dyDescent="0.25">
      <c r="A283" s="8">
        <v>43956</v>
      </c>
      <c r="B283" s="4" t="s">
        <v>20</v>
      </c>
      <c r="C283" s="4">
        <v>26367</v>
      </c>
      <c r="D283" s="4">
        <v>2380333.5</v>
      </c>
      <c r="E283" s="3"/>
      <c r="F283" s="3"/>
      <c r="G283" s="3"/>
      <c r="J283" s="15" t="str">
        <f t="shared" si="4"/>
        <v>43956Краснодар</v>
      </c>
    </row>
    <row r="284" spans="1:10" ht="14.25" customHeight="1" x14ac:dyDescent="0.25">
      <c r="A284" s="7">
        <v>43964</v>
      </c>
      <c r="B284" s="2" t="s">
        <v>20</v>
      </c>
      <c r="C284" s="2">
        <v>25539</v>
      </c>
      <c r="D284" s="2">
        <v>2263651.5</v>
      </c>
      <c r="E284" s="3"/>
      <c r="F284" s="3"/>
      <c r="G284" s="3"/>
      <c r="J284" s="15" t="str">
        <f t="shared" si="4"/>
        <v>43964Краснодар</v>
      </c>
    </row>
    <row r="285" spans="1:10" ht="14.25" customHeight="1" x14ac:dyDescent="0.25">
      <c r="A285" s="8">
        <v>43982</v>
      </c>
      <c r="B285" s="4" t="s">
        <v>19</v>
      </c>
      <c r="C285" s="4">
        <v>14808</v>
      </c>
      <c r="D285" s="4">
        <v>1336789.5</v>
      </c>
      <c r="E285" s="3"/>
      <c r="F285" s="3"/>
      <c r="G285" s="3"/>
      <c r="J285" s="15" t="str">
        <f t="shared" si="4"/>
        <v>43982Ростов-на-Дону</v>
      </c>
    </row>
    <row r="286" spans="1:10" ht="14.25" customHeight="1" x14ac:dyDescent="0.25">
      <c r="A286" s="7">
        <v>43954</v>
      </c>
      <c r="B286" s="2" t="s">
        <v>20</v>
      </c>
      <c r="C286" s="2">
        <v>21343.5</v>
      </c>
      <c r="D286" s="2">
        <v>1906557</v>
      </c>
      <c r="E286" s="3"/>
      <c r="F286" s="3"/>
      <c r="G286" s="3"/>
      <c r="J286" s="15" t="str">
        <f t="shared" si="4"/>
        <v>43954Краснодар</v>
      </c>
    </row>
    <row r="287" spans="1:10" ht="14.25" customHeight="1" x14ac:dyDescent="0.25">
      <c r="A287" s="8">
        <v>43981</v>
      </c>
      <c r="B287" s="4" t="s">
        <v>19</v>
      </c>
      <c r="C287" s="4">
        <v>17946</v>
      </c>
      <c r="D287" s="4">
        <v>1609090.5</v>
      </c>
      <c r="E287" s="3"/>
      <c r="F287" s="3"/>
      <c r="G287" s="3"/>
      <c r="J287" s="15" t="str">
        <f t="shared" si="4"/>
        <v>43981Ростов-на-Дону</v>
      </c>
    </row>
    <row r="288" spans="1:10" ht="14.25" customHeight="1" x14ac:dyDescent="0.25">
      <c r="A288" s="7">
        <v>43957</v>
      </c>
      <c r="B288" s="2" t="s">
        <v>20</v>
      </c>
      <c r="C288" s="2">
        <v>24337.5</v>
      </c>
      <c r="D288" s="2">
        <v>2159350.5</v>
      </c>
      <c r="E288" s="3"/>
      <c r="F288" s="3"/>
      <c r="G288" s="3"/>
      <c r="J288" s="15" t="str">
        <f t="shared" si="4"/>
        <v>43957Краснодар</v>
      </c>
    </row>
    <row r="289" spans="1:10" ht="14.25" customHeight="1" x14ac:dyDescent="0.25">
      <c r="A289" s="8">
        <v>43974</v>
      </c>
      <c r="B289" s="4" t="s">
        <v>20</v>
      </c>
      <c r="C289" s="4">
        <v>36997.5</v>
      </c>
      <c r="D289" s="4">
        <v>3089140.5</v>
      </c>
      <c r="E289" s="3"/>
      <c r="F289" s="3"/>
      <c r="G289" s="3"/>
      <c r="J289" s="15" t="str">
        <f t="shared" si="4"/>
        <v>43974Краснодар</v>
      </c>
    </row>
    <row r="290" spans="1:10" ht="14.25" customHeight="1" x14ac:dyDescent="0.25">
      <c r="A290" s="7">
        <v>43979</v>
      </c>
      <c r="B290" s="2" t="s">
        <v>19</v>
      </c>
      <c r="C290" s="2">
        <v>13864.5</v>
      </c>
      <c r="D290" s="2">
        <v>1239747</v>
      </c>
      <c r="E290" s="3"/>
      <c r="F290" s="3"/>
      <c r="G290" s="3"/>
      <c r="J290" s="15" t="str">
        <f t="shared" si="4"/>
        <v>43979Ростов-на-Дону</v>
      </c>
    </row>
    <row r="291" spans="1:10" ht="14.25" customHeight="1" x14ac:dyDescent="0.25">
      <c r="A291" s="8">
        <v>43976</v>
      </c>
      <c r="B291" s="4" t="s">
        <v>20</v>
      </c>
      <c r="C291" s="4">
        <v>28494</v>
      </c>
      <c r="D291" s="4">
        <v>2512803</v>
      </c>
      <c r="E291" s="3"/>
      <c r="F291" s="3"/>
      <c r="G291" s="3"/>
      <c r="J291" s="15" t="str">
        <f t="shared" si="4"/>
        <v>43976Краснодар</v>
      </c>
    </row>
    <row r="292" spans="1:10" ht="14.25" customHeight="1" x14ac:dyDescent="0.25">
      <c r="A292" s="7">
        <v>43951</v>
      </c>
      <c r="B292" s="2" t="s">
        <v>20</v>
      </c>
      <c r="C292" s="2">
        <v>27883.5</v>
      </c>
      <c r="D292" s="2">
        <v>2560080</v>
      </c>
      <c r="E292" s="3"/>
      <c r="F292" s="3"/>
      <c r="G292" s="3"/>
      <c r="J292" s="15" t="str">
        <f t="shared" si="4"/>
        <v>43951Краснодар</v>
      </c>
    </row>
    <row r="293" spans="1:10" ht="14.25" customHeight="1" x14ac:dyDescent="0.25">
      <c r="A293" s="8">
        <v>43961</v>
      </c>
      <c r="B293" s="4" t="s">
        <v>20</v>
      </c>
      <c r="C293" s="4">
        <v>31224</v>
      </c>
      <c r="D293" s="4">
        <v>2767270.5</v>
      </c>
      <c r="E293" s="3"/>
      <c r="F293" s="3"/>
      <c r="G293" s="3"/>
      <c r="J293" s="15" t="str">
        <f t="shared" si="4"/>
        <v>43961Краснодар</v>
      </c>
    </row>
    <row r="294" spans="1:10" ht="14.25" customHeight="1" x14ac:dyDescent="0.25">
      <c r="A294" s="7">
        <v>43959</v>
      </c>
      <c r="B294" s="2" t="s">
        <v>20</v>
      </c>
      <c r="C294" s="2">
        <v>25020</v>
      </c>
      <c r="D294" s="2">
        <v>2235960</v>
      </c>
      <c r="E294" s="3"/>
      <c r="F294" s="3"/>
      <c r="G294" s="3"/>
      <c r="J294" s="15" t="str">
        <f t="shared" si="4"/>
        <v>43959Краснодар</v>
      </c>
    </row>
    <row r="295" spans="1:10" ht="14.25" customHeight="1" x14ac:dyDescent="0.25">
      <c r="A295" s="8">
        <v>43958</v>
      </c>
      <c r="B295" s="4" t="s">
        <v>20</v>
      </c>
      <c r="C295" s="4">
        <v>26184</v>
      </c>
      <c r="D295" s="4">
        <v>2308336.5</v>
      </c>
      <c r="E295" s="3"/>
      <c r="F295" s="3"/>
      <c r="G295" s="3"/>
      <c r="J295" s="15" t="str">
        <f t="shared" si="4"/>
        <v>43958Краснодар</v>
      </c>
    </row>
    <row r="296" spans="1:10" ht="14.25" customHeight="1" x14ac:dyDescent="0.25">
      <c r="A296" s="7">
        <v>43975</v>
      </c>
      <c r="B296" s="2" t="s">
        <v>20</v>
      </c>
      <c r="C296" s="2">
        <v>29824.5</v>
      </c>
      <c r="D296" s="2">
        <v>2526909</v>
      </c>
      <c r="E296" s="3"/>
      <c r="F296" s="3"/>
      <c r="G296" s="3"/>
      <c r="J296" s="15" t="str">
        <f t="shared" si="4"/>
        <v>43975Краснодар</v>
      </c>
    </row>
    <row r="297" spans="1:10" ht="14.25" customHeight="1" x14ac:dyDescent="0.25">
      <c r="A297" s="8">
        <v>43950</v>
      </c>
      <c r="B297" s="4" t="s">
        <v>21</v>
      </c>
      <c r="C297" s="4">
        <v>208351.5</v>
      </c>
      <c r="D297" s="4">
        <v>21615333</v>
      </c>
      <c r="E297" s="3"/>
      <c r="F297" s="3"/>
      <c r="G297" s="3"/>
      <c r="J297" s="15" t="str">
        <f t="shared" si="4"/>
        <v>43950Москва Запад</v>
      </c>
    </row>
    <row r="298" spans="1:10" ht="14.25" customHeight="1" x14ac:dyDescent="0.25">
      <c r="A298" s="7">
        <v>43949</v>
      </c>
      <c r="B298" s="2" t="s">
        <v>21</v>
      </c>
      <c r="C298" s="2">
        <v>204637.5</v>
      </c>
      <c r="D298" s="2">
        <v>21114898.5</v>
      </c>
      <c r="E298" s="3"/>
      <c r="F298" s="3"/>
      <c r="G298" s="3"/>
      <c r="J298" s="15" t="str">
        <f t="shared" si="4"/>
        <v>43949Москва Запад</v>
      </c>
    </row>
    <row r="299" spans="1:10" ht="14.25" customHeight="1" x14ac:dyDescent="0.25">
      <c r="A299" s="8">
        <v>43982</v>
      </c>
      <c r="B299" s="4" t="s">
        <v>20</v>
      </c>
      <c r="C299" s="4">
        <v>31372.5</v>
      </c>
      <c r="D299" s="4">
        <v>2794324.5</v>
      </c>
      <c r="E299" s="3"/>
      <c r="F299" s="3"/>
      <c r="G299" s="3"/>
      <c r="J299" s="15" t="str">
        <f t="shared" si="4"/>
        <v>43982Краснодар</v>
      </c>
    </row>
    <row r="300" spans="1:10" ht="14.25" customHeight="1" x14ac:dyDescent="0.25">
      <c r="A300" s="7">
        <v>43981</v>
      </c>
      <c r="B300" s="2" t="s">
        <v>20</v>
      </c>
      <c r="C300" s="2">
        <v>34681.5</v>
      </c>
      <c r="D300" s="2">
        <v>3005334</v>
      </c>
      <c r="E300" s="3"/>
      <c r="F300" s="3"/>
      <c r="G300" s="3"/>
      <c r="J300" s="15" t="str">
        <f t="shared" si="4"/>
        <v>43981Краснодар</v>
      </c>
    </row>
    <row r="301" spans="1:10" ht="14.25" customHeight="1" x14ac:dyDescent="0.25">
      <c r="A301" s="8">
        <v>43979</v>
      </c>
      <c r="B301" s="4" t="s">
        <v>20</v>
      </c>
      <c r="C301" s="4">
        <v>28197</v>
      </c>
      <c r="D301" s="4">
        <v>2559211.5</v>
      </c>
      <c r="E301" s="3"/>
      <c r="F301" s="3"/>
      <c r="G301" s="3"/>
      <c r="J301" s="15" t="str">
        <f t="shared" si="4"/>
        <v>43979Краснодар</v>
      </c>
    </row>
    <row r="302" spans="1:10" ht="14.25" customHeight="1" x14ac:dyDescent="0.25">
      <c r="A302" s="7">
        <v>43967</v>
      </c>
      <c r="B302" s="2" t="s">
        <v>21</v>
      </c>
      <c r="C302" s="2">
        <v>236551.5</v>
      </c>
      <c r="D302" s="2">
        <v>23689383</v>
      </c>
      <c r="E302" s="3"/>
      <c r="F302" s="3"/>
      <c r="G302" s="3"/>
      <c r="J302" s="15" t="str">
        <f t="shared" si="4"/>
        <v>43967Москва Запад</v>
      </c>
    </row>
    <row r="303" spans="1:10" ht="14.25" customHeight="1" x14ac:dyDescent="0.25">
      <c r="A303" s="8">
        <v>43970</v>
      </c>
      <c r="B303" s="4" t="s">
        <v>21</v>
      </c>
      <c r="C303" s="4">
        <v>223597.5</v>
      </c>
      <c r="D303" s="4">
        <v>21945858</v>
      </c>
      <c r="E303" s="3"/>
      <c r="F303" s="3"/>
      <c r="G303" s="3"/>
      <c r="J303" s="15" t="str">
        <f t="shared" si="4"/>
        <v>43970Москва Запад</v>
      </c>
    </row>
    <row r="304" spans="1:10" ht="14.25" customHeight="1" x14ac:dyDescent="0.25">
      <c r="A304" s="7">
        <v>43968</v>
      </c>
      <c r="B304" s="2" t="s">
        <v>21</v>
      </c>
      <c r="C304" s="2">
        <v>193363.5</v>
      </c>
      <c r="D304" s="2">
        <v>19546386</v>
      </c>
      <c r="E304" s="3"/>
      <c r="F304" s="3"/>
      <c r="G304" s="3"/>
      <c r="J304" s="15" t="str">
        <f t="shared" si="4"/>
        <v>43968Москва Запад</v>
      </c>
    </row>
    <row r="305" spans="1:10" ht="14.25" customHeight="1" x14ac:dyDescent="0.25">
      <c r="A305" s="8">
        <v>43960</v>
      </c>
      <c r="B305" s="4" t="s">
        <v>21</v>
      </c>
      <c r="C305" s="4">
        <v>188319</v>
      </c>
      <c r="D305" s="4">
        <v>19218631.5</v>
      </c>
      <c r="E305" s="3"/>
      <c r="F305" s="3"/>
      <c r="G305" s="3"/>
      <c r="J305" s="15" t="str">
        <f t="shared" si="4"/>
        <v>43960Москва Запад</v>
      </c>
    </row>
    <row r="306" spans="1:10" ht="14.25" customHeight="1" x14ac:dyDescent="0.25">
      <c r="A306" s="7">
        <v>43955</v>
      </c>
      <c r="B306" s="2" t="s">
        <v>21</v>
      </c>
      <c r="C306" s="2">
        <v>237544.5</v>
      </c>
      <c r="D306" s="2">
        <v>24292218</v>
      </c>
      <c r="E306" s="3"/>
      <c r="F306" s="3"/>
      <c r="G306" s="3"/>
      <c r="J306" s="15" t="str">
        <f t="shared" si="4"/>
        <v>43955Москва Запад</v>
      </c>
    </row>
    <row r="307" spans="1:10" ht="14.25" customHeight="1" x14ac:dyDescent="0.25">
      <c r="A307" s="8">
        <v>43950</v>
      </c>
      <c r="B307" s="4" t="s">
        <v>22</v>
      </c>
      <c r="C307" s="4">
        <v>203209.5</v>
      </c>
      <c r="D307" s="4">
        <v>20871391.5</v>
      </c>
      <c r="E307" s="3"/>
      <c r="F307" s="3"/>
      <c r="G307" s="3"/>
      <c r="J307" s="15" t="str">
        <f t="shared" si="4"/>
        <v>43950Москва Восток</v>
      </c>
    </row>
    <row r="308" spans="1:10" ht="14.25" customHeight="1" x14ac:dyDescent="0.25">
      <c r="A308" s="7">
        <v>43953</v>
      </c>
      <c r="B308" s="2" t="s">
        <v>21</v>
      </c>
      <c r="C308" s="2">
        <v>185979</v>
      </c>
      <c r="D308" s="2">
        <v>19625364</v>
      </c>
      <c r="E308" s="3"/>
      <c r="F308" s="3"/>
      <c r="G308" s="3"/>
      <c r="J308" s="15" t="str">
        <f t="shared" si="4"/>
        <v>43953Москва Запад</v>
      </c>
    </row>
    <row r="309" spans="1:10" ht="14.25" customHeight="1" x14ac:dyDescent="0.25">
      <c r="A309" s="8">
        <v>43977</v>
      </c>
      <c r="B309" s="4" t="s">
        <v>21</v>
      </c>
      <c r="C309" s="4">
        <v>244905</v>
      </c>
      <c r="D309" s="4">
        <v>25163431.5</v>
      </c>
      <c r="E309" s="3"/>
      <c r="F309" s="3"/>
      <c r="G309" s="3"/>
      <c r="J309" s="15" t="str">
        <f t="shared" si="4"/>
        <v>43977Москва Запад</v>
      </c>
    </row>
    <row r="310" spans="1:10" ht="14.25" customHeight="1" x14ac:dyDescent="0.25">
      <c r="A310" s="7">
        <v>43952</v>
      </c>
      <c r="B310" s="2" t="s">
        <v>21</v>
      </c>
      <c r="C310" s="2">
        <v>239409</v>
      </c>
      <c r="D310" s="2">
        <v>25413351</v>
      </c>
      <c r="E310" s="3"/>
      <c r="F310" s="3"/>
      <c r="G310" s="3"/>
      <c r="J310" s="15" t="str">
        <f t="shared" si="4"/>
        <v>43952Москва Запад</v>
      </c>
    </row>
    <row r="311" spans="1:10" ht="14.25" customHeight="1" x14ac:dyDescent="0.25">
      <c r="A311" s="8">
        <v>43963</v>
      </c>
      <c r="B311" s="4" t="s">
        <v>21</v>
      </c>
      <c r="C311" s="4">
        <v>192886.5</v>
      </c>
      <c r="D311" s="4">
        <v>19205179.5</v>
      </c>
      <c r="E311" s="3"/>
      <c r="F311" s="3"/>
      <c r="G311" s="3"/>
      <c r="J311" s="15" t="str">
        <f t="shared" si="4"/>
        <v>43963Москва Запад</v>
      </c>
    </row>
    <row r="312" spans="1:10" ht="14.25" customHeight="1" x14ac:dyDescent="0.25">
      <c r="A312" s="7">
        <v>43972</v>
      </c>
      <c r="B312" s="2" t="s">
        <v>21</v>
      </c>
      <c r="C312" s="2">
        <v>224233.5</v>
      </c>
      <c r="D312" s="2">
        <v>22253295</v>
      </c>
      <c r="E312" s="3"/>
      <c r="F312" s="3"/>
      <c r="G312" s="3"/>
      <c r="J312" s="15" t="str">
        <f t="shared" si="4"/>
        <v>43972Москва Запад</v>
      </c>
    </row>
    <row r="313" spans="1:10" ht="14.25" customHeight="1" x14ac:dyDescent="0.25">
      <c r="A313" s="8">
        <v>43971</v>
      </c>
      <c r="B313" s="4" t="s">
        <v>21</v>
      </c>
      <c r="C313" s="4">
        <v>219622.5</v>
      </c>
      <c r="D313" s="4">
        <v>21959286</v>
      </c>
      <c r="E313" s="3"/>
      <c r="F313" s="3"/>
      <c r="G313" s="3"/>
      <c r="J313" s="15" t="str">
        <f t="shared" si="4"/>
        <v>43971Москва Запад</v>
      </c>
    </row>
    <row r="314" spans="1:10" ht="14.25" customHeight="1" x14ac:dyDescent="0.25">
      <c r="A314" s="7">
        <v>43956</v>
      </c>
      <c r="B314" s="2" t="s">
        <v>21</v>
      </c>
      <c r="C314" s="2">
        <v>213582</v>
      </c>
      <c r="D314" s="2">
        <v>21919435.5</v>
      </c>
      <c r="E314" s="3"/>
      <c r="F314" s="3"/>
      <c r="G314" s="3"/>
      <c r="J314" s="15" t="str">
        <f t="shared" si="4"/>
        <v>43956Москва Запад</v>
      </c>
    </row>
    <row r="315" spans="1:10" ht="14.25" customHeight="1" x14ac:dyDescent="0.25">
      <c r="A315" s="8">
        <v>43949</v>
      </c>
      <c r="B315" s="4" t="s">
        <v>22</v>
      </c>
      <c r="C315" s="4">
        <v>195705</v>
      </c>
      <c r="D315" s="4">
        <v>20003263.5</v>
      </c>
      <c r="E315" s="3"/>
      <c r="F315" s="3"/>
      <c r="G315" s="3"/>
      <c r="J315" s="15" t="str">
        <f t="shared" si="4"/>
        <v>43949Москва Восток</v>
      </c>
    </row>
    <row r="316" spans="1:10" ht="14.25" customHeight="1" x14ac:dyDescent="0.25">
      <c r="A316" s="7">
        <v>43964</v>
      </c>
      <c r="B316" s="2" t="s">
        <v>21</v>
      </c>
      <c r="C316" s="2">
        <v>193722</v>
      </c>
      <c r="D316" s="2">
        <v>19437273</v>
      </c>
      <c r="E316" s="3"/>
      <c r="F316" s="3"/>
      <c r="G316" s="3"/>
      <c r="J316" s="15" t="str">
        <f t="shared" si="4"/>
        <v>43964Москва Запад</v>
      </c>
    </row>
    <row r="317" spans="1:10" ht="14.25" customHeight="1" x14ac:dyDescent="0.25">
      <c r="A317" s="8">
        <v>43954</v>
      </c>
      <c r="B317" s="4" t="s">
        <v>21</v>
      </c>
      <c r="C317" s="4">
        <v>257215.5</v>
      </c>
      <c r="D317" s="4">
        <v>26492278.5</v>
      </c>
      <c r="E317" s="3"/>
      <c r="F317" s="3"/>
      <c r="G317" s="3"/>
      <c r="J317" s="15" t="str">
        <f t="shared" si="4"/>
        <v>43954Москва Запад</v>
      </c>
    </row>
    <row r="318" spans="1:10" ht="14.25" customHeight="1" x14ac:dyDescent="0.25">
      <c r="A318" s="7">
        <v>43957</v>
      </c>
      <c r="B318" s="2" t="s">
        <v>21</v>
      </c>
      <c r="C318" s="2">
        <v>224779.5</v>
      </c>
      <c r="D318" s="2">
        <v>23032992</v>
      </c>
      <c r="E318" s="3"/>
      <c r="F318" s="3"/>
      <c r="G318" s="3"/>
      <c r="J318" s="15" t="str">
        <f t="shared" si="4"/>
        <v>43957Москва Запад</v>
      </c>
    </row>
    <row r="319" spans="1:10" ht="14.25" customHeight="1" x14ac:dyDescent="0.25">
      <c r="A319" s="8">
        <v>43974</v>
      </c>
      <c r="B319" s="4" t="s">
        <v>21</v>
      </c>
      <c r="C319" s="4">
        <v>292018.5</v>
      </c>
      <c r="D319" s="4">
        <v>28590910.5</v>
      </c>
      <c r="E319" s="3"/>
      <c r="F319" s="3"/>
      <c r="G319" s="3"/>
      <c r="J319" s="15" t="str">
        <f t="shared" si="4"/>
        <v>43974Москва Запад</v>
      </c>
    </row>
    <row r="320" spans="1:10" ht="14.25" customHeight="1" x14ac:dyDescent="0.25">
      <c r="A320" s="7">
        <v>43976</v>
      </c>
      <c r="B320" s="2" t="s">
        <v>21</v>
      </c>
      <c r="C320" s="2">
        <v>198751.5</v>
      </c>
      <c r="D320" s="2">
        <v>20582743.5</v>
      </c>
      <c r="E320" s="3"/>
      <c r="F320" s="3"/>
      <c r="G320" s="3"/>
      <c r="J320" s="15" t="str">
        <f t="shared" si="4"/>
        <v>43976Москва Запад</v>
      </c>
    </row>
    <row r="321" spans="1:10" ht="14.25" customHeight="1" x14ac:dyDescent="0.25">
      <c r="A321" s="8">
        <v>43951</v>
      </c>
      <c r="B321" s="4" t="s">
        <v>21</v>
      </c>
      <c r="C321" s="4">
        <v>214386</v>
      </c>
      <c r="D321" s="4">
        <v>22530000</v>
      </c>
      <c r="E321" s="3"/>
      <c r="F321" s="3"/>
      <c r="G321" s="3"/>
      <c r="J321" s="15" t="str">
        <f t="shared" si="4"/>
        <v>43951Москва Запад</v>
      </c>
    </row>
    <row r="322" spans="1:10" ht="14.25" customHeight="1" x14ac:dyDescent="0.25">
      <c r="A322" s="7">
        <v>43961</v>
      </c>
      <c r="B322" s="2" t="s">
        <v>21</v>
      </c>
      <c r="C322" s="2">
        <v>243825</v>
      </c>
      <c r="D322" s="2">
        <v>24890404.5</v>
      </c>
      <c r="E322" s="3"/>
      <c r="F322" s="3"/>
      <c r="G322" s="3"/>
      <c r="J322" s="15" t="str">
        <f t="shared" ref="J322:J385" si="5">--A322&amp;B322</f>
        <v>43961Москва Запад</v>
      </c>
    </row>
    <row r="323" spans="1:10" ht="14.25" customHeight="1" x14ac:dyDescent="0.25">
      <c r="A323" s="8">
        <v>43959</v>
      </c>
      <c r="B323" s="4" t="s">
        <v>21</v>
      </c>
      <c r="C323" s="4">
        <v>232701</v>
      </c>
      <c r="D323" s="4">
        <v>23881948.5</v>
      </c>
      <c r="E323" s="3"/>
      <c r="F323" s="3"/>
      <c r="G323" s="3"/>
      <c r="J323" s="15" t="str">
        <f t="shared" si="5"/>
        <v>43959Москва Запад</v>
      </c>
    </row>
    <row r="324" spans="1:10" ht="14.25" customHeight="1" x14ac:dyDescent="0.25">
      <c r="A324" s="7">
        <v>43958</v>
      </c>
      <c r="B324" s="2" t="s">
        <v>21</v>
      </c>
      <c r="C324" s="2">
        <v>219411</v>
      </c>
      <c r="D324" s="2">
        <v>22460130</v>
      </c>
      <c r="E324" s="3"/>
      <c r="F324" s="3"/>
      <c r="G324" s="3"/>
      <c r="J324" s="15" t="str">
        <f t="shared" si="5"/>
        <v>43958Москва Запад</v>
      </c>
    </row>
    <row r="325" spans="1:10" ht="14.25" customHeight="1" x14ac:dyDescent="0.25">
      <c r="A325" s="8">
        <v>43975</v>
      </c>
      <c r="B325" s="4" t="s">
        <v>21</v>
      </c>
      <c r="C325" s="4">
        <v>200029.5</v>
      </c>
      <c r="D325" s="4">
        <v>19959801</v>
      </c>
      <c r="E325" s="3"/>
      <c r="F325" s="3"/>
      <c r="G325" s="3"/>
      <c r="J325" s="15" t="str">
        <f t="shared" si="5"/>
        <v>43975Москва Запад</v>
      </c>
    </row>
    <row r="326" spans="1:10" ht="14.25" customHeight="1" x14ac:dyDescent="0.25">
      <c r="A326" s="7">
        <v>43967</v>
      </c>
      <c r="B326" s="2" t="s">
        <v>22</v>
      </c>
      <c r="C326" s="2">
        <v>225480</v>
      </c>
      <c r="D326" s="2">
        <v>22355338.5</v>
      </c>
      <c r="E326" s="3"/>
      <c r="F326" s="3"/>
      <c r="G326" s="3"/>
      <c r="J326" s="15" t="str">
        <f t="shared" si="5"/>
        <v>43967Москва Восток</v>
      </c>
    </row>
    <row r="327" spans="1:10" ht="14.25" customHeight="1" x14ac:dyDescent="0.25">
      <c r="A327" s="8">
        <v>43970</v>
      </c>
      <c r="B327" s="4" t="s">
        <v>22</v>
      </c>
      <c r="C327" s="4">
        <v>211453.5</v>
      </c>
      <c r="D327" s="4">
        <v>20590072.5</v>
      </c>
      <c r="E327" s="3"/>
      <c r="F327" s="3"/>
      <c r="G327" s="3"/>
      <c r="J327" s="15" t="str">
        <f t="shared" si="5"/>
        <v>43970Москва Восток</v>
      </c>
    </row>
    <row r="328" spans="1:10" ht="14.25" customHeight="1" x14ac:dyDescent="0.25">
      <c r="A328" s="7">
        <v>43968</v>
      </c>
      <c r="B328" s="2" t="s">
        <v>22</v>
      </c>
      <c r="C328" s="2">
        <v>184801.5</v>
      </c>
      <c r="D328" s="2">
        <v>18449091</v>
      </c>
      <c r="E328" s="3"/>
      <c r="F328" s="3"/>
      <c r="G328" s="3"/>
      <c r="J328" s="15" t="str">
        <f t="shared" si="5"/>
        <v>43968Москва Восток</v>
      </c>
    </row>
    <row r="329" spans="1:10" ht="14.25" customHeight="1" x14ac:dyDescent="0.25">
      <c r="A329" s="8">
        <v>43960</v>
      </c>
      <c r="B329" s="4" t="s">
        <v>22</v>
      </c>
      <c r="C329" s="4">
        <v>177976.5</v>
      </c>
      <c r="D329" s="4">
        <v>18085798.5</v>
      </c>
      <c r="E329" s="3"/>
      <c r="F329" s="3"/>
      <c r="G329" s="3"/>
      <c r="J329" s="15" t="str">
        <f t="shared" si="5"/>
        <v>43960Москва Восток</v>
      </c>
    </row>
    <row r="330" spans="1:10" ht="14.25" customHeight="1" x14ac:dyDescent="0.25">
      <c r="A330" s="7">
        <v>43955</v>
      </c>
      <c r="B330" s="2" t="s">
        <v>22</v>
      </c>
      <c r="C330" s="2">
        <v>223617</v>
      </c>
      <c r="D330" s="2">
        <v>22796827.5</v>
      </c>
      <c r="E330" s="3"/>
      <c r="F330" s="3"/>
      <c r="G330" s="3"/>
      <c r="J330" s="15" t="str">
        <f t="shared" si="5"/>
        <v>43955Москва Восток</v>
      </c>
    </row>
    <row r="331" spans="1:10" ht="14.25" customHeight="1" x14ac:dyDescent="0.25">
      <c r="A331" s="8">
        <v>43953</v>
      </c>
      <c r="B331" s="4" t="s">
        <v>22</v>
      </c>
      <c r="C331" s="4">
        <v>176397</v>
      </c>
      <c r="D331" s="4">
        <v>18625921.5</v>
      </c>
      <c r="E331" s="3"/>
      <c r="F331" s="3"/>
      <c r="G331" s="3"/>
      <c r="J331" s="15" t="str">
        <f t="shared" si="5"/>
        <v>43953Москва Восток</v>
      </c>
    </row>
    <row r="332" spans="1:10" ht="14.25" customHeight="1" x14ac:dyDescent="0.25">
      <c r="A332" s="7">
        <v>43977</v>
      </c>
      <c r="B332" s="2" t="s">
        <v>22</v>
      </c>
      <c r="C332" s="2">
        <v>232369.5</v>
      </c>
      <c r="D332" s="2">
        <v>23856345</v>
      </c>
      <c r="E332" s="3"/>
      <c r="F332" s="3"/>
      <c r="G332" s="3"/>
      <c r="J332" s="15" t="str">
        <f t="shared" si="5"/>
        <v>43977Москва Восток</v>
      </c>
    </row>
    <row r="333" spans="1:10" ht="14.25" customHeight="1" x14ac:dyDescent="0.25">
      <c r="A333" s="8">
        <v>43952</v>
      </c>
      <c r="B333" s="4" t="s">
        <v>22</v>
      </c>
      <c r="C333" s="4">
        <v>226540.5</v>
      </c>
      <c r="D333" s="4">
        <v>23953536</v>
      </c>
      <c r="E333" s="3"/>
      <c r="F333" s="3"/>
      <c r="G333" s="3"/>
      <c r="J333" s="15" t="str">
        <f t="shared" si="5"/>
        <v>43952Москва Восток</v>
      </c>
    </row>
    <row r="334" spans="1:10" ht="14.25" customHeight="1" x14ac:dyDescent="0.25">
      <c r="A334" s="7">
        <v>43963</v>
      </c>
      <c r="B334" s="2" t="s">
        <v>22</v>
      </c>
      <c r="C334" s="2">
        <v>189679.5</v>
      </c>
      <c r="D334" s="2">
        <v>18718036.5</v>
      </c>
      <c r="E334" s="3"/>
      <c r="F334" s="3"/>
      <c r="G334" s="3"/>
      <c r="J334" s="15" t="str">
        <f t="shared" si="5"/>
        <v>43963Москва Восток</v>
      </c>
    </row>
    <row r="335" spans="1:10" ht="14.25" customHeight="1" x14ac:dyDescent="0.25">
      <c r="A335" s="8">
        <v>43972</v>
      </c>
      <c r="B335" s="4" t="s">
        <v>22</v>
      </c>
      <c r="C335" s="4">
        <v>213640.5</v>
      </c>
      <c r="D335" s="4">
        <v>21042673.5</v>
      </c>
      <c r="E335" s="3"/>
      <c r="F335" s="3"/>
      <c r="G335" s="3"/>
      <c r="J335" s="15" t="str">
        <f t="shared" si="5"/>
        <v>43972Москва Восток</v>
      </c>
    </row>
    <row r="336" spans="1:10" ht="14.25" customHeight="1" x14ac:dyDescent="0.25">
      <c r="A336" s="7">
        <v>43971</v>
      </c>
      <c r="B336" s="2" t="s">
        <v>22</v>
      </c>
      <c r="C336" s="2">
        <v>214885.5</v>
      </c>
      <c r="D336" s="2">
        <v>21411349.5</v>
      </c>
      <c r="E336" s="3"/>
      <c r="F336" s="3"/>
      <c r="G336" s="3"/>
      <c r="J336" s="15" t="str">
        <f t="shared" si="5"/>
        <v>43971Москва Восток</v>
      </c>
    </row>
    <row r="337" spans="1:10" ht="14.25" customHeight="1" x14ac:dyDescent="0.25">
      <c r="A337" s="8">
        <v>43956</v>
      </c>
      <c r="B337" s="4" t="s">
        <v>22</v>
      </c>
      <c r="C337" s="4">
        <v>203832</v>
      </c>
      <c r="D337" s="4">
        <v>20880142.5</v>
      </c>
      <c r="E337" s="3"/>
      <c r="F337" s="3"/>
      <c r="G337" s="3"/>
      <c r="J337" s="15" t="str">
        <f t="shared" si="5"/>
        <v>43956Москва Восток</v>
      </c>
    </row>
    <row r="338" spans="1:10" ht="14.25" customHeight="1" x14ac:dyDescent="0.25">
      <c r="A338" s="7">
        <v>43964</v>
      </c>
      <c r="B338" s="2" t="s">
        <v>22</v>
      </c>
      <c r="C338" s="2">
        <v>188662.5</v>
      </c>
      <c r="D338" s="2">
        <v>18784000.5</v>
      </c>
      <c r="E338" s="3"/>
      <c r="F338" s="3"/>
      <c r="G338" s="3"/>
      <c r="J338" s="15" t="str">
        <f t="shared" si="5"/>
        <v>43964Москва Восток</v>
      </c>
    </row>
    <row r="339" spans="1:10" ht="14.25" customHeight="1" x14ac:dyDescent="0.25">
      <c r="A339" s="8">
        <v>43982</v>
      </c>
      <c r="B339" s="4" t="s">
        <v>21</v>
      </c>
      <c r="C339" s="4">
        <v>215277</v>
      </c>
      <c r="D339" s="4">
        <v>21585316.5</v>
      </c>
      <c r="E339" s="3"/>
      <c r="F339" s="3"/>
      <c r="G339" s="3"/>
      <c r="J339" s="15" t="str">
        <f t="shared" si="5"/>
        <v>43982Москва Запад</v>
      </c>
    </row>
    <row r="340" spans="1:10" ht="14.25" customHeight="1" x14ac:dyDescent="0.25">
      <c r="A340" s="7">
        <v>43954</v>
      </c>
      <c r="B340" s="2" t="s">
        <v>22</v>
      </c>
      <c r="C340" s="2">
        <v>248148</v>
      </c>
      <c r="D340" s="2">
        <v>25519072.5</v>
      </c>
      <c r="E340" s="3"/>
      <c r="F340" s="3"/>
      <c r="G340" s="3"/>
      <c r="J340" s="15" t="str">
        <f t="shared" si="5"/>
        <v>43954Москва Восток</v>
      </c>
    </row>
    <row r="341" spans="1:10" ht="14.25" customHeight="1" x14ac:dyDescent="0.25">
      <c r="A341" s="8">
        <v>43981</v>
      </c>
      <c r="B341" s="4" t="s">
        <v>21</v>
      </c>
      <c r="C341" s="4">
        <v>246414</v>
      </c>
      <c r="D341" s="4">
        <v>24527245.5</v>
      </c>
      <c r="E341" s="3"/>
      <c r="F341" s="3"/>
      <c r="G341" s="3"/>
      <c r="J341" s="15" t="str">
        <f t="shared" si="5"/>
        <v>43981Москва Запад</v>
      </c>
    </row>
    <row r="342" spans="1:10" ht="14.25" customHeight="1" x14ac:dyDescent="0.25">
      <c r="A342" s="7">
        <v>43957</v>
      </c>
      <c r="B342" s="2" t="s">
        <v>22</v>
      </c>
      <c r="C342" s="2">
        <v>216498</v>
      </c>
      <c r="D342" s="2">
        <v>22126444.5</v>
      </c>
      <c r="E342" s="3"/>
      <c r="F342" s="3"/>
      <c r="G342" s="3"/>
      <c r="J342" s="15" t="str">
        <f t="shared" si="5"/>
        <v>43957Москва Восток</v>
      </c>
    </row>
    <row r="343" spans="1:10" ht="14.25" customHeight="1" x14ac:dyDescent="0.25">
      <c r="A343" s="8">
        <v>43974</v>
      </c>
      <c r="B343" s="4" t="s">
        <v>22</v>
      </c>
      <c r="C343" s="4">
        <v>275793</v>
      </c>
      <c r="D343" s="4">
        <v>26806626</v>
      </c>
      <c r="E343" s="3"/>
      <c r="F343" s="3"/>
      <c r="G343" s="3"/>
      <c r="J343" s="15" t="str">
        <f t="shared" si="5"/>
        <v>43974Москва Восток</v>
      </c>
    </row>
    <row r="344" spans="1:10" ht="14.25" customHeight="1" x14ac:dyDescent="0.25">
      <c r="A344" s="7">
        <v>43979</v>
      </c>
      <c r="B344" s="2" t="s">
        <v>21</v>
      </c>
      <c r="C344" s="2">
        <v>199753.5</v>
      </c>
      <c r="D344" s="2">
        <v>20535733.5</v>
      </c>
      <c r="E344" s="3"/>
      <c r="F344" s="3"/>
      <c r="G344" s="3"/>
      <c r="J344" s="15" t="str">
        <f t="shared" si="5"/>
        <v>43979Москва Запад</v>
      </c>
    </row>
    <row r="345" spans="1:10" ht="14.25" customHeight="1" x14ac:dyDescent="0.25">
      <c r="A345" s="8">
        <v>43976</v>
      </c>
      <c r="B345" s="4" t="s">
        <v>22</v>
      </c>
      <c r="C345" s="4">
        <v>192948</v>
      </c>
      <c r="D345" s="4">
        <v>19806927</v>
      </c>
      <c r="E345" s="3"/>
      <c r="F345" s="3"/>
      <c r="G345" s="3"/>
      <c r="J345" s="15" t="str">
        <f t="shared" si="5"/>
        <v>43976Москва Восток</v>
      </c>
    </row>
    <row r="346" spans="1:10" ht="14.25" customHeight="1" x14ac:dyDescent="0.25">
      <c r="A346" s="7">
        <v>43951</v>
      </c>
      <c r="B346" s="2" t="s">
        <v>22</v>
      </c>
      <c r="C346" s="2">
        <v>206038.5</v>
      </c>
      <c r="D346" s="2">
        <v>21740460</v>
      </c>
      <c r="E346" s="3"/>
      <c r="F346" s="3"/>
      <c r="G346" s="3"/>
      <c r="J346" s="15" t="str">
        <f t="shared" si="5"/>
        <v>43951Москва Восток</v>
      </c>
    </row>
    <row r="347" spans="1:10" ht="14.25" customHeight="1" x14ac:dyDescent="0.25">
      <c r="A347" s="8">
        <v>43961</v>
      </c>
      <c r="B347" s="4" t="s">
        <v>22</v>
      </c>
      <c r="C347" s="4">
        <v>231559.5</v>
      </c>
      <c r="D347" s="4">
        <v>23443725</v>
      </c>
      <c r="E347" s="3"/>
      <c r="F347" s="3"/>
      <c r="G347" s="3"/>
      <c r="J347" s="15" t="str">
        <f t="shared" si="5"/>
        <v>43961Москва Восток</v>
      </c>
    </row>
    <row r="348" spans="1:10" ht="14.25" customHeight="1" x14ac:dyDescent="0.25">
      <c r="A348" s="7">
        <v>43959</v>
      </c>
      <c r="B348" s="2" t="s">
        <v>22</v>
      </c>
      <c r="C348" s="2">
        <v>225076.5</v>
      </c>
      <c r="D348" s="2">
        <v>22846078.5</v>
      </c>
      <c r="E348" s="3"/>
      <c r="F348" s="3"/>
      <c r="G348" s="3"/>
      <c r="J348" s="15" t="str">
        <f t="shared" si="5"/>
        <v>43959Москва Восток</v>
      </c>
    </row>
    <row r="349" spans="1:10" ht="14.25" customHeight="1" x14ac:dyDescent="0.25">
      <c r="A349" s="8">
        <v>43958</v>
      </c>
      <c r="B349" s="4" t="s">
        <v>22</v>
      </c>
      <c r="C349" s="4">
        <v>209415</v>
      </c>
      <c r="D349" s="4">
        <v>21463023</v>
      </c>
      <c r="E349" s="3"/>
      <c r="F349" s="3"/>
      <c r="G349" s="3"/>
      <c r="J349" s="15" t="str">
        <f t="shared" si="5"/>
        <v>43958Москва Восток</v>
      </c>
    </row>
    <row r="350" spans="1:10" ht="14.25" customHeight="1" x14ac:dyDescent="0.25">
      <c r="A350" s="7">
        <v>43975</v>
      </c>
      <c r="B350" s="2" t="s">
        <v>22</v>
      </c>
      <c r="C350" s="2">
        <v>193719</v>
      </c>
      <c r="D350" s="2">
        <v>19071117</v>
      </c>
      <c r="E350" s="3"/>
      <c r="F350" s="3"/>
      <c r="G350" s="3"/>
      <c r="J350" s="15" t="str">
        <f t="shared" si="5"/>
        <v>43975Москва Восток</v>
      </c>
    </row>
    <row r="351" spans="1:10" ht="14.25" customHeight="1" x14ac:dyDescent="0.25">
      <c r="A351" s="8">
        <v>43950</v>
      </c>
      <c r="B351" s="4" t="s">
        <v>23</v>
      </c>
      <c r="C351" s="4">
        <v>12250.5</v>
      </c>
      <c r="D351" s="4">
        <v>981519</v>
      </c>
      <c r="E351" s="3"/>
      <c r="F351" s="3"/>
      <c r="G351" s="3"/>
      <c r="J351" s="15" t="str">
        <f t="shared" si="5"/>
        <v>43950Новосибирск</v>
      </c>
    </row>
    <row r="352" spans="1:10" ht="14.25" customHeight="1" x14ac:dyDescent="0.25">
      <c r="A352" s="7">
        <v>43949</v>
      </c>
      <c r="B352" s="2" t="s">
        <v>23</v>
      </c>
      <c r="C352" s="2">
        <v>12541.5</v>
      </c>
      <c r="D352" s="2">
        <v>992541</v>
      </c>
      <c r="E352" s="3"/>
      <c r="F352" s="3"/>
      <c r="G352" s="3"/>
      <c r="J352" s="15" t="str">
        <f t="shared" si="5"/>
        <v>43949Новосибирск</v>
      </c>
    </row>
    <row r="353" spans="1:10" ht="14.25" customHeight="1" x14ac:dyDescent="0.25">
      <c r="A353" s="8">
        <v>43982</v>
      </c>
      <c r="B353" s="4" t="s">
        <v>22</v>
      </c>
      <c r="C353" s="4">
        <v>206758.5</v>
      </c>
      <c r="D353" s="4">
        <v>20717248.5</v>
      </c>
      <c r="E353" s="3"/>
      <c r="F353" s="3"/>
      <c r="G353" s="3"/>
      <c r="J353" s="15" t="str">
        <f t="shared" si="5"/>
        <v>43982Москва Восток</v>
      </c>
    </row>
    <row r="354" spans="1:10" ht="14.25" customHeight="1" x14ac:dyDescent="0.25">
      <c r="A354" s="7">
        <v>43981</v>
      </c>
      <c r="B354" s="2" t="s">
        <v>22</v>
      </c>
      <c r="C354" s="2">
        <v>244734</v>
      </c>
      <c r="D354" s="2">
        <v>24151980</v>
      </c>
      <c r="E354" s="3"/>
      <c r="F354" s="3"/>
      <c r="G354" s="3"/>
      <c r="J354" s="15" t="str">
        <f t="shared" si="5"/>
        <v>43981Москва Восток</v>
      </c>
    </row>
    <row r="355" spans="1:10" ht="14.25" customHeight="1" x14ac:dyDescent="0.25">
      <c r="A355" s="8">
        <v>43979</v>
      </c>
      <c r="B355" s="4" t="s">
        <v>22</v>
      </c>
      <c r="C355" s="4">
        <v>191641.5</v>
      </c>
      <c r="D355" s="4">
        <v>19549036.5</v>
      </c>
      <c r="E355" s="3"/>
      <c r="F355" s="3"/>
      <c r="G355" s="3"/>
      <c r="J355" s="15" t="str">
        <f t="shared" si="5"/>
        <v>43979Москва Восток</v>
      </c>
    </row>
    <row r="356" spans="1:10" ht="14.25" customHeight="1" x14ac:dyDescent="0.25">
      <c r="A356" s="7">
        <v>43967</v>
      </c>
      <c r="B356" s="2" t="s">
        <v>23</v>
      </c>
      <c r="C356" s="2">
        <v>16368</v>
      </c>
      <c r="D356" s="2">
        <v>1316350.5</v>
      </c>
      <c r="E356" s="3"/>
      <c r="F356" s="3"/>
      <c r="G356" s="3"/>
      <c r="J356" s="15" t="str">
        <f t="shared" si="5"/>
        <v>43967Новосибирск</v>
      </c>
    </row>
    <row r="357" spans="1:10" ht="14.25" customHeight="1" x14ac:dyDescent="0.25">
      <c r="A357" s="8">
        <v>43970</v>
      </c>
      <c r="B357" s="4" t="s">
        <v>23</v>
      </c>
      <c r="C357" s="4">
        <v>14427</v>
      </c>
      <c r="D357" s="4">
        <v>1126810.5</v>
      </c>
      <c r="E357" s="3"/>
      <c r="F357" s="3"/>
      <c r="G357" s="3"/>
      <c r="J357" s="15" t="str">
        <f t="shared" si="5"/>
        <v>43970Новосибирск</v>
      </c>
    </row>
    <row r="358" spans="1:10" ht="14.25" customHeight="1" x14ac:dyDescent="0.25">
      <c r="A358" s="7">
        <v>43968</v>
      </c>
      <c r="B358" s="2" t="s">
        <v>23</v>
      </c>
      <c r="C358" s="2">
        <v>13440</v>
      </c>
      <c r="D358" s="2">
        <v>1157529</v>
      </c>
      <c r="E358" s="3"/>
      <c r="F358" s="3"/>
      <c r="G358" s="3"/>
      <c r="J358" s="15" t="str">
        <f t="shared" si="5"/>
        <v>43968Новосибирск</v>
      </c>
    </row>
    <row r="359" spans="1:10" ht="14.25" customHeight="1" x14ac:dyDescent="0.25">
      <c r="A359" s="8">
        <v>43960</v>
      </c>
      <c r="B359" s="4" t="s">
        <v>23</v>
      </c>
      <c r="C359" s="4">
        <v>11745</v>
      </c>
      <c r="D359" s="4">
        <v>955801.5</v>
      </c>
      <c r="E359" s="3"/>
      <c r="F359" s="3"/>
      <c r="G359" s="3"/>
      <c r="J359" s="15" t="str">
        <f t="shared" si="5"/>
        <v>43960Новосибирск</v>
      </c>
    </row>
    <row r="360" spans="1:10" ht="14.25" customHeight="1" x14ac:dyDescent="0.25">
      <c r="A360" s="7">
        <v>43955</v>
      </c>
      <c r="B360" s="2" t="s">
        <v>23</v>
      </c>
      <c r="C360" s="2">
        <v>11062.5</v>
      </c>
      <c r="D360" s="2">
        <v>906343.5</v>
      </c>
      <c r="E360" s="3"/>
      <c r="F360" s="3"/>
      <c r="G360" s="3"/>
      <c r="J360" s="15" t="str">
        <f t="shared" si="5"/>
        <v>43955Новосибирск</v>
      </c>
    </row>
    <row r="361" spans="1:10" ht="14.25" customHeight="1" x14ac:dyDescent="0.25">
      <c r="A361" s="8">
        <v>43953</v>
      </c>
      <c r="B361" s="4" t="s">
        <v>23</v>
      </c>
      <c r="C361" s="4">
        <v>10018.5</v>
      </c>
      <c r="D361" s="4">
        <v>816859.5</v>
      </c>
      <c r="E361" s="3"/>
      <c r="F361" s="3"/>
      <c r="G361" s="3"/>
      <c r="J361" s="15" t="str">
        <f t="shared" si="5"/>
        <v>43953Новосибирск</v>
      </c>
    </row>
    <row r="362" spans="1:10" ht="14.25" customHeight="1" x14ac:dyDescent="0.25">
      <c r="A362" s="7">
        <v>43977</v>
      </c>
      <c r="B362" s="2" t="s">
        <v>24</v>
      </c>
      <c r="C362" s="2">
        <v>10437</v>
      </c>
      <c r="D362" s="2">
        <v>833815.5</v>
      </c>
      <c r="E362" s="3"/>
      <c r="F362" s="3"/>
      <c r="G362" s="3"/>
      <c r="J362" s="15" t="str">
        <f t="shared" si="5"/>
        <v>43977Тюмень</v>
      </c>
    </row>
    <row r="363" spans="1:10" ht="14.25" customHeight="1" x14ac:dyDescent="0.25">
      <c r="A363" s="8">
        <v>43952</v>
      </c>
      <c r="B363" s="4" t="s">
        <v>23</v>
      </c>
      <c r="C363" s="4">
        <v>13644</v>
      </c>
      <c r="D363" s="4">
        <v>1134444</v>
      </c>
      <c r="E363" s="3"/>
      <c r="F363" s="3"/>
      <c r="G363" s="3"/>
      <c r="J363" s="15" t="str">
        <f t="shared" si="5"/>
        <v>43952Новосибирск</v>
      </c>
    </row>
    <row r="364" spans="1:10" ht="14.25" customHeight="1" x14ac:dyDescent="0.25">
      <c r="A364" s="7">
        <v>43963</v>
      </c>
      <c r="B364" s="2" t="s">
        <v>23</v>
      </c>
      <c r="C364" s="2">
        <v>13443</v>
      </c>
      <c r="D364" s="2">
        <v>1092277.5</v>
      </c>
      <c r="E364" s="3"/>
      <c r="F364" s="3"/>
      <c r="G364" s="3"/>
      <c r="J364" s="15" t="str">
        <f t="shared" si="5"/>
        <v>43963Новосибирск</v>
      </c>
    </row>
    <row r="365" spans="1:10" ht="14.25" customHeight="1" x14ac:dyDescent="0.25">
      <c r="A365" s="8">
        <v>43972</v>
      </c>
      <c r="B365" s="4" t="s">
        <v>23</v>
      </c>
      <c r="C365" s="4">
        <v>14182.5</v>
      </c>
      <c r="D365" s="4">
        <v>1172574</v>
      </c>
      <c r="E365" s="3"/>
      <c r="F365" s="3"/>
      <c r="G365" s="3"/>
      <c r="J365" s="15" t="str">
        <f t="shared" si="5"/>
        <v>43972Новосибирск</v>
      </c>
    </row>
    <row r="366" spans="1:10" ht="14.25" customHeight="1" x14ac:dyDescent="0.25">
      <c r="A366" s="7">
        <v>43971</v>
      </c>
      <c r="B366" s="2" t="s">
        <v>23</v>
      </c>
      <c r="C366" s="2">
        <v>14928</v>
      </c>
      <c r="D366" s="2">
        <v>1217749.5</v>
      </c>
      <c r="E366" s="3"/>
      <c r="F366" s="3"/>
      <c r="G366" s="3"/>
      <c r="J366" s="15" t="str">
        <f t="shared" si="5"/>
        <v>43971Новосибирск</v>
      </c>
    </row>
    <row r="367" spans="1:10" ht="14.25" customHeight="1" x14ac:dyDescent="0.25">
      <c r="A367" s="8">
        <v>43956</v>
      </c>
      <c r="B367" s="4" t="s">
        <v>23</v>
      </c>
      <c r="C367" s="4">
        <v>13941</v>
      </c>
      <c r="D367" s="4">
        <v>1145575.5</v>
      </c>
      <c r="E367" s="3"/>
      <c r="F367" s="3"/>
      <c r="G367" s="3"/>
      <c r="J367" s="15" t="str">
        <f t="shared" si="5"/>
        <v>43956Новосибирск</v>
      </c>
    </row>
    <row r="368" spans="1:10" ht="14.25" customHeight="1" x14ac:dyDescent="0.25">
      <c r="A368" s="7">
        <v>43964</v>
      </c>
      <c r="B368" s="2" t="s">
        <v>23</v>
      </c>
      <c r="C368" s="2">
        <v>14643</v>
      </c>
      <c r="D368" s="2">
        <v>1172691</v>
      </c>
      <c r="E368" s="3"/>
      <c r="F368" s="3"/>
      <c r="G368" s="3"/>
      <c r="J368" s="15" t="str">
        <f t="shared" si="5"/>
        <v>43964Новосибирск</v>
      </c>
    </row>
    <row r="369" spans="1:10" ht="14.25" customHeight="1" x14ac:dyDescent="0.25">
      <c r="A369" s="8">
        <v>43954</v>
      </c>
      <c r="B369" s="4" t="s">
        <v>23</v>
      </c>
      <c r="C369" s="4">
        <v>10032</v>
      </c>
      <c r="D369" s="4">
        <v>816150</v>
      </c>
      <c r="E369" s="3"/>
      <c r="F369" s="3"/>
      <c r="G369" s="3"/>
      <c r="J369" s="15" t="str">
        <f t="shared" si="5"/>
        <v>43954Новосибирск</v>
      </c>
    </row>
    <row r="370" spans="1:10" ht="14.25" customHeight="1" x14ac:dyDescent="0.25">
      <c r="A370" s="7">
        <v>43957</v>
      </c>
      <c r="B370" s="2" t="s">
        <v>23</v>
      </c>
      <c r="C370" s="2">
        <v>12468</v>
      </c>
      <c r="D370" s="2">
        <v>1016566.5</v>
      </c>
      <c r="E370" s="3"/>
      <c r="F370" s="3"/>
      <c r="G370" s="3"/>
      <c r="J370" s="15" t="str">
        <f t="shared" si="5"/>
        <v>43957Новосибирск</v>
      </c>
    </row>
    <row r="371" spans="1:10" ht="14.25" customHeight="1" x14ac:dyDescent="0.25">
      <c r="A371" s="8">
        <v>43974</v>
      </c>
      <c r="B371" s="4" t="s">
        <v>23</v>
      </c>
      <c r="C371" s="4">
        <v>17943</v>
      </c>
      <c r="D371" s="4">
        <v>1457391</v>
      </c>
      <c r="E371" s="3"/>
      <c r="F371" s="3"/>
      <c r="G371" s="3"/>
      <c r="J371" s="15" t="str">
        <f t="shared" si="5"/>
        <v>43974Новосибирск</v>
      </c>
    </row>
    <row r="372" spans="1:10" ht="14.25" customHeight="1" x14ac:dyDescent="0.25">
      <c r="A372" s="7">
        <v>43976</v>
      </c>
      <c r="B372" s="2" t="s">
        <v>23</v>
      </c>
      <c r="C372" s="2">
        <v>15807</v>
      </c>
      <c r="D372" s="2">
        <v>1326705</v>
      </c>
      <c r="E372" s="3"/>
      <c r="F372" s="3"/>
      <c r="G372" s="3"/>
      <c r="J372" s="15" t="str">
        <f t="shared" si="5"/>
        <v>43976Новосибирск</v>
      </c>
    </row>
    <row r="373" spans="1:10" ht="14.25" customHeight="1" x14ac:dyDescent="0.25">
      <c r="A373" s="8">
        <v>43951</v>
      </c>
      <c r="B373" s="4" t="s">
        <v>23</v>
      </c>
      <c r="C373" s="4">
        <v>11976</v>
      </c>
      <c r="D373" s="4">
        <v>1004511</v>
      </c>
      <c r="E373" s="3"/>
      <c r="F373" s="3"/>
      <c r="G373" s="3"/>
      <c r="J373" s="15" t="str">
        <f t="shared" si="5"/>
        <v>43951Новосибирск</v>
      </c>
    </row>
    <row r="374" spans="1:10" ht="14.25" customHeight="1" x14ac:dyDescent="0.25">
      <c r="A374" s="7">
        <v>43961</v>
      </c>
      <c r="B374" s="2" t="s">
        <v>23</v>
      </c>
      <c r="C374" s="2">
        <v>14566.5</v>
      </c>
      <c r="D374" s="2">
        <v>1216557</v>
      </c>
      <c r="E374" s="3"/>
      <c r="F374" s="3"/>
      <c r="G374" s="3"/>
      <c r="J374" s="15" t="str">
        <f t="shared" si="5"/>
        <v>43961Новосибирск</v>
      </c>
    </row>
    <row r="375" spans="1:10" ht="14.25" customHeight="1" x14ac:dyDescent="0.25">
      <c r="A375" s="8">
        <v>43959</v>
      </c>
      <c r="B375" s="4" t="s">
        <v>23</v>
      </c>
      <c r="C375" s="4">
        <v>12976.5</v>
      </c>
      <c r="D375" s="4">
        <v>1046848.5</v>
      </c>
      <c r="E375" s="3"/>
      <c r="F375" s="3"/>
      <c r="G375" s="3"/>
      <c r="J375" s="15" t="str">
        <f t="shared" si="5"/>
        <v>43959Новосибирск</v>
      </c>
    </row>
    <row r="376" spans="1:10" ht="14.25" customHeight="1" x14ac:dyDescent="0.25">
      <c r="A376" s="7">
        <v>43958</v>
      </c>
      <c r="B376" s="2" t="s">
        <v>23</v>
      </c>
      <c r="C376" s="2">
        <v>11719.5</v>
      </c>
      <c r="D376" s="2">
        <v>965880</v>
      </c>
      <c r="E376" s="3"/>
      <c r="F376" s="3"/>
      <c r="G376" s="3"/>
      <c r="J376" s="15" t="str">
        <f t="shared" si="5"/>
        <v>43958Новосибирск</v>
      </c>
    </row>
    <row r="377" spans="1:10" ht="14.25" customHeight="1" x14ac:dyDescent="0.25">
      <c r="A377" s="8">
        <v>43975</v>
      </c>
      <c r="B377" s="4" t="s">
        <v>23</v>
      </c>
      <c r="C377" s="4">
        <v>17197.5</v>
      </c>
      <c r="D377" s="4">
        <v>1386262.5</v>
      </c>
      <c r="E377" s="3"/>
      <c r="F377" s="3"/>
      <c r="G377" s="3"/>
      <c r="J377" s="15" t="str">
        <f t="shared" si="5"/>
        <v>43975Новосибирск</v>
      </c>
    </row>
    <row r="378" spans="1:10" ht="14.25" customHeight="1" x14ac:dyDescent="0.25">
      <c r="A378" s="7">
        <v>43977</v>
      </c>
      <c r="B378" s="2" t="s">
        <v>23</v>
      </c>
      <c r="C378" s="2">
        <v>14419.5</v>
      </c>
      <c r="D378" s="2">
        <v>1210456.5</v>
      </c>
      <c r="E378" s="3"/>
      <c r="F378" s="3"/>
      <c r="G378" s="3"/>
      <c r="J378" s="15" t="str">
        <f t="shared" si="5"/>
        <v>43977Новосибирск</v>
      </c>
    </row>
    <row r="379" spans="1:10" ht="14.25" customHeight="1" x14ac:dyDescent="0.25">
      <c r="A379" s="8">
        <v>43983</v>
      </c>
      <c r="B379" s="4" t="s">
        <v>9</v>
      </c>
      <c r="C379" s="4">
        <v>7816.5</v>
      </c>
      <c r="D379" s="4">
        <v>636345</v>
      </c>
      <c r="E379" s="3"/>
      <c r="F379" s="3"/>
      <c r="G379" s="3"/>
      <c r="J379" s="15" t="str">
        <f t="shared" si="5"/>
        <v>43983Самара</v>
      </c>
    </row>
    <row r="380" spans="1:10" ht="14.25" customHeight="1" x14ac:dyDescent="0.25">
      <c r="A380" s="7">
        <v>43982</v>
      </c>
      <c r="B380" s="2" t="s">
        <v>25</v>
      </c>
      <c r="C380" s="2">
        <v>6409.5</v>
      </c>
      <c r="D380" s="2">
        <v>493893</v>
      </c>
      <c r="E380" s="3"/>
      <c r="F380" s="3"/>
      <c r="G380" s="3"/>
      <c r="J380" s="15" t="str">
        <f t="shared" si="5"/>
        <v>43982Томск</v>
      </c>
    </row>
    <row r="381" spans="1:10" ht="14.25" customHeight="1" x14ac:dyDescent="0.25">
      <c r="A381" s="8">
        <v>43981</v>
      </c>
      <c r="B381" s="4" t="s">
        <v>24</v>
      </c>
      <c r="C381" s="4">
        <v>11220</v>
      </c>
      <c r="D381" s="4">
        <v>928675.5</v>
      </c>
      <c r="E381" s="3"/>
      <c r="F381" s="3"/>
      <c r="G381" s="3"/>
      <c r="J381" s="15" t="str">
        <f t="shared" si="5"/>
        <v>43981Тюмень</v>
      </c>
    </row>
    <row r="382" spans="1:10" ht="14.25" customHeight="1" x14ac:dyDescent="0.25">
      <c r="A382" s="7">
        <v>43980</v>
      </c>
      <c r="B382" s="2" t="s">
        <v>9</v>
      </c>
      <c r="C382" s="2">
        <v>8350.5</v>
      </c>
      <c r="D382" s="2">
        <v>651237</v>
      </c>
      <c r="E382" s="3"/>
      <c r="F382" s="3"/>
      <c r="G382" s="3"/>
      <c r="J382" s="15" t="str">
        <f t="shared" si="5"/>
        <v>43980Самара</v>
      </c>
    </row>
    <row r="383" spans="1:10" ht="14.25" customHeight="1" x14ac:dyDescent="0.25">
      <c r="A383" s="8">
        <v>43979</v>
      </c>
      <c r="B383" s="4" t="s">
        <v>24</v>
      </c>
      <c r="C383" s="4">
        <v>8428.5</v>
      </c>
      <c r="D383" s="4">
        <v>694669.5</v>
      </c>
      <c r="E383" s="3"/>
      <c r="F383" s="3"/>
      <c r="G383" s="3"/>
      <c r="J383" s="15" t="str">
        <f t="shared" si="5"/>
        <v>43979Тюмень</v>
      </c>
    </row>
    <row r="384" spans="1:10" ht="14.25" customHeight="1" x14ac:dyDescent="0.25">
      <c r="A384" s="7">
        <v>43978</v>
      </c>
      <c r="B384" s="2" t="s">
        <v>10</v>
      </c>
      <c r="C384" s="2">
        <v>32817</v>
      </c>
      <c r="D384" s="2">
        <v>3015751.5</v>
      </c>
      <c r="E384" s="3"/>
      <c r="F384" s="3"/>
      <c r="G384" s="3"/>
      <c r="J384" s="15" t="str">
        <f t="shared" si="5"/>
        <v>43978Кемерово</v>
      </c>
    </row>
    <row r="385" spans="1:10" ht="14.25" customHeight="1" x14ac:dyDescent="0.25">
      <c r="A385" s="8">
        <v>43973</v>
      </c>
      <c r="B385" s="4" t="s">
        <v>10</v>
      </c>
      <c r="C385" s="4">
        <v>36031.5</v>
      </c>
      <c r="D385" s="4">
        <v>3091069.5</v>
      </c>
      <c r="E385" s="3"/>
      <c r="F385" s="3"/>
      <c r="G385" s="3"/>
      <c r="J385" s="15" t="str">
        <f t="shared" si="5"/>
        <v>43973Кемерово</v>
      </c>
    </row>
    <row r="386" spans="1:10" ht="14.25" customHeight="1" x14ac:dyDescent="0.25">
      <c r="A386" s="7">
        <v>43982</v>
      </c>
      <c r="B386" s="2" t="s">
        <v>26</v>
      </c>
      <c r="C386" s="2">
        <v>5127</v>
      </c>
      <c r="D386" s="2">
        <v>468835.5</v>
      </c>
      <c r="E386" s="3"/>
      <c r="F386" s="3"/>
      <c r="G386" s="3"/>
      <c r="J386" s="15" t="str">
        <f t="shared" ref="J386:J449" si="6">--A386&amp;B386</f>
        <v>43982Уфа</v>
      </c>
    </row>
    <row r="387" spans="1:10" ht="14.25" customHeight="1" x14ac:dyDescent="0.25">
      <c r="A387" s="8">
        <v>43962</v>
      </c>
      <c r="B387" s="4" t="s">
        <v>10</v>
      </c>
      <c r="C387" s="4">
        <v>27187.5</v>
      </c>
      <c r="D387" s="4">
        <v>2479396.5</v>
      </c>
      <c r="E387" s="3"/>
      <c r="F387" s="3"/>
      <c r="G387" s="3"/>
      <c r="J387" s="15" t="str">
        <f t="shared" si="6"/>
        <v>43962Кемерово</v>
      </c>
    </row>
    <row r="388" spans="1:10" ht="14.25" customHeight="1" x14ac:dyDescent="0.25">
      <c r="A388" s="7">
        <v>43981</v>
      </c>
      <c r="B388" s="2" t="s">
        <v>23</v>
      </c>
      <c r="C388" s="2">
        <v>20688</v>
      </c>
      <c r="D388" s="2">
        <v>1773154.5</v>
      </c>
      <c r="E388" s="3"/>
      <c r="F388" s="3"/>
      <c r="G388" s="3"/>
      <c r="J388" s="15" t="str">
        <f t="shared" si="6"/>
        <v>43981Новосибирск</v>
      </c>
    </row>
    <row r="389" spans="1:10" ht="14.25" customHeight="1" x14ac:dyDescent="0.25">
      <c r="A389" s="8">
        <v>43979</v>
      </c>
      <c r="B389" s="4" t="s">
        <v>23</v>
      </c>
      <c r="C389" s="4">
        <v>15678</v>
      </c>
      <c r="D389" s="4">
        <v>1387443</v>
      </c>
      <c r="E389" s="3"/>
      <c r="F389" s="3"/>
      <c r="G389" s="3"/>
      <c r="J389" s="15" t="str">
        <f t="shared" si="6"/>
        <v>43979Новосибирск</v>
      </c>
    </row>
    <row r="390" spans="1:10" ht="14.25" customHeight="1" x14ac:dyDescent="0.25">
      <c r="A390" s="7">
        <v>43969</v>
      </c>
      <c r="B390" s="2" t="s">
        <v>10</v>
      </c>
      <c r="C390" s="2">
        <v>31329</v>
      </c>
      <c r="D390" s="2">
        <v>2826379.5</v>
      </c>
      <c r="E390" s="3"/>
      <c r="F390" s="3"/>
      <c r="G390" s="3"/>
      <c r="J390" s="15" t="str">
        <f t="shared" si="6"/>
        <v>43969Кемерово</v>
      </c>
    </row>
    <row r="391" spans="1:10" ht="14.25" customHeight="1" x14ac:dyDescent="0.25">
      <c r="A391" s="8">
        <v>43965</v>
      </c>
      <c r="B391" s="4" t="s">
        <v>10</v>
      </c>
      <c r="C391" s="4">
        <v>29658</v>
      </c>
      <c r="D391" s="4">
        <v>2703132</v>
      </c>
      <c r="E391" s="3"/>
      <c r="F391" s="3"/>
      <c r="G391" s="3"/>
      <c r="J391" s="15" t="str">
        <f t="shared" si="6"/>
        <v>43965Кемерово</v>
      </c>
    </row>
    <row r="392" spans="1:10" ht="14.25" customHeight="1" x14ac:dyDescent="0.25">
      <c r="A392" s="7">
        <v>43966</v>
      </c>
      <c r="B392" s="2" t="s">
        <v>10</v>
      </c>
      <c r="C392" s="2">
        <v>34150.5</v>
      </c>
      <c r="D392" s="2">
        <v>3038293.5</v>
      </c>
      <c r="E392" s="3"/>
      <c r="F392" s="3"/>
      <c r="G392" s="3"/>
      <c r="J392" s="15" t="str">
        <f t="shared" si="6"/>
        <v>43966Кемерово</v>
      </c>
    </row>
    <row r="393" spans="1:10" ht="14.25" customHeight="1" x14ac:dyDescent="0.25">
      <c r="A393" s="8">
        <v>43983</v>
      </c>
      <c r="B393" s="4" t="s">
        <v>10</v>
      </c>
      <c r="C393" s="4">
        <v>31947</v>
      </c>
      <c r="D393" s="4">
        <v>2945035.5</v>
      </c>
      <c r="E393" s="3"/>
      <c r="F393" s="3"/>
      <c r="G393" s="3"/>
      <c r="J393" s="15" t="str">
        <f t="shared" si="6"/>
        <v>43983Кемерово</v>
      </c>
    </row>
    <row r="394" spans="1:10" ht="14.25" customHeight="1" x14ac:dyDescent="0.25">
      <c r="A394" s="7">
        <v>43982</v>
      </c>
      <c r="B394" s="2" t="s">
        <v>24</v>
      </c>
      <c r="C394" s="2">
        <v>10416</v>
      </c>
      <c r="D394" s="2">
        <v>866023.5</v>
      </c>
      <c r="E394" s="3"/>
      <c r="F394" s="3"/>
      <c r="G394" s="3"/>
      <c r="J394" s="15" t="str">
        <f t="shared" si="6"/>
        <v>43982Тюмень</v>
      </c>
    </row>
    <row r="395" spans="1:10" ht="14.25" customHeight="1" x14ac:dyDescent="0.25">
      <c r="A395" s="8">
        <v>43980</v>
      </c>
      <c r="B395" s="4" t="s">
        <v>10</v>
      </c>
      <c r="C395" s="4">
        <v>35431.5</v>
      </c>
      <c r="D395" s="4">
        <v>3193167</v>
      </c>
      <c r="E395" s="3"/>
      <c r="F395" s="3"/>
      <c r="G395" s="3"/>
      <c r="J395" s="15" t="str">
        <f t="shared" si="6"/>
        <v>43980Кемерово</v>
      </c>
    </row>
    <row r="396" spans="1:10" ht="14.25" customHeight="1" x14ac:dyDescent="0.25">
      <c r="A396" s="7">
        <v>43978</v>
      </c>
      <c r="B396" s="2" t="s">
        <v>11</v>
      </c>
      <c r="C396" s="2">
        <v>78544.5</v>
      </c>
      <c r="D396" s="2">
        <v>6701083.5</v>
      </c>
      <c r="E396" s="3"/>
      <c r="F396" s="3"/>
      <c r="G396" s="3"/>
      <c r="J396" s="15" t="str">
        <f t="shared" si="6"/>
        <v>43978Екатеринбург</v>
      </c>
    </row>
    <row r="397" spans="1:10" ht="14.25" customHeight="1" x14ac:dyDescent="0.25">
      <c r="A397" s="8">
        <v>43973</v>
      </c>
      <c r="B397" s="4" t="s">
        <v>11</v>
      </c>
      <c r="C397" s="4">
        <v>97963.5</v>
      </c>
      <c r="D397" s="4">
        <v>7728465</v>
      </c>
      <c r="E397" s="3"/>
      <c r="F397" s="3"/>
      <c r="G397" s="3"/>
      <c r="J397" s="15" t="str">
        <f t="shared" si="6"/>
        <v>43973Екатеринбург</v>
      </c>
    </row>
    <row r="398" spans="1:10" ht="14.25" customHeight="1" x14ac:dyDescent="0.25">
      <c r="A398" s="7">
        <v>43983</v>
      </c>
      <c r="B398" s="2" t="s">
        <v>11</v>
      </c>
      <c r="C398" s="2">
        <v>77269.5</v>
      </c>
      <c r="D398" s="2">
        <v>6829921.5</v>
      </c>
      <c r="E398" s="3"/>
      <c r="F398" s="3"/>
      <c r="G398" s="3"/>
      <c r="J398" s="15" t="str">
        <f t="shared" si="6"/>
        <v>43983Екатеринбург</v>
      </c>
    </row>
    <row r="399" spans="1:10" ht="14.25" customHeight="1" x14ac:dyDescent="0.25">
      <c r="A399" s="8">
        <v>43982</v>
      </c>
      <c r="B399" s="4" t="s">
        <v>23</v>
      </c>
      <c r="C399" s="4">
        <v>16143</v>
      </c>
      <c r="D399" s="4">
        <v>1423410</v>
      </c>
      <c r="E399" s="3"/>
      <c r="F399" s="3"/>
      <c r="G399" s="3"/>
      <c r="J399" s="15" t="str">
        <f t="shared" si="6"/>
        <v>43982Новосибирск</v>
      </c>
    </row>
    <row r="400" spans="1:10" ht="14.25" customHeight="1" x14ac:dyDescent="0.25">
      <c r="A400" s="7">
        <v>43962</v>
      </c>
      <c r="B400" s="2" t="s">
        <v>11</v>
      </c>
      <c r="C400" s="2">
        <v>72220.5</v>
      </c>
      <c r="D400" s="2">
        <v>6398719.5</v>
      </c>
      <c r="E400" s="3"/>
      <c r="F400" s="3"/>
      <c r="G400" s="3"/>
      <c r="J400" s="15" t="str">
        <f t="shared" si="6"/>
        <v>43962Екатеринбург</v>
      </c>
    </row>
    <row r="401" spans="1:10" ht="14.25" customHeight="1" x14ac:dyDescent="0.25">
      <c r="A401" s="8">
        <v>43969</v>
      </c>
      <c r="B401" s="4" t="s">
        <v>11</v>
      </c>
      <c r="C401" s="4">
        <v>78058.5</v>
      </c>
      <c r="D401" s="4">
        <v>6609714</v>
      </c>
      <c r="E401" s="3"/>
      <c r="F401" s="3"/>
      <c r="G401" s="3"/>
      <c r="J401" s="15" t="str">
        <f t="shared" si="6"/>
        <v>43969Екатеринбург</v>
      </c>
    </row>
    <row r="402" spans="1:10" ht="14.25" customHeight="1" x14ac:dyDescent="0.25">
      <c r="A402" s="7">
        <v>43965</v>
      </c>
      <c r="B402" s="2" t="s">
        <v>11</v>
      </c>
      <c r="C402" s="2">
        <v>70498.5</v>
      </c>
      <c r="D402" s="2">
        <v>6053649</v>
      </c>
      <c r="E402" s="3"/>
      <c r="F402" s="3"/>
      <c r="G402" s="3"/>
      <c r="J402" s="15" t="str">
        <f t="shared" si="6"/>
        <v>43965Екатеринбург</v>
      </c>
    </row>
    <row r="403" spans="1:10" ht="14.25" customHeight="1" x14ac:dyDescent="0.25">
      <c r="A403" s="8">
        <v>43966</v>
      </c>
      <c r="B403" s="4" t="s">
        <v>11</v>
      </c>
      <c r="C403" s="4">
        <v>78961.5</v>
      </c>
      <c r="D403" s="4">
        <v>6876454.5</v>
      </c>
      <c r="E403" s="3"/>
      <c r="F403" s="3"/>
      <c r="G403" s="3"/>
      <c r="J403" s="15" t="str">
        <f t="shared" si="6"/>
        <v>43966Екатеринбург</v>
      </c>
    </row>
    <row r="404" spans="1:10" ht="14.25" customHeight="1" x14ac:dyDescent="0.25">
      <c r="A404" s="7">
        <v>43978</v>
      </c>
      <c r="B404" s="2" t="s">
        <v>12</v>
      </c>
      <c r="C404" s="2">
        <v>12490.5</v>
      </c>
      <c r="D404" s="2">
        <v>1054798.5</v>
      </c>
      <c r="E404" s="3"/>
      <c r="F404" s="3"/>
      <c r="G404" s="3"/>
      <c r="J404" s="15" t="str">
        <f t="shared" si="6"/>
        <v>43978Тольятти</v>
      </c>
    </row>
    <row r="405" spans="1:10" ht="14.25" customHeight="1" x14ac:dyDescent="0.25">
      <c r="A405" s="8">
        <v>43973</v>
      </c>
      <c r="B405" s="4" t="s">
        <v>12</v>
      </c>
      <c r="C405" s="4">
        <v>18036</v>
      </c>
      <c r="D405" s="4">
        <v>1455049.5</v>
      </c>
      <c r="E405" s="3"/>
      <c r="F405" s="3"/>
      <c r="G405" s="3"/>
      <c r="J405" s="15" t="str">
        <f t="shared" si="6"/>
        <v>43973Тольятти</v>
      </c>
    </row>
    <row r="406" spans="1:10" ht="14.25" customHeight="1" x14ac:dyDescent="0.25">
      <c r="A406" s="7">
        <v>43983</v>
      </c>
      <c r="B406" s="2" t="s">
        <v>12</v>
      </c>
      <c r="C406" s="2">
        <v>11416.5</v>
      </c>
      <c r="D406" s="2">
        <v>1007742</v>
      </c>
      <c r="E406" s="3"/>
      <c r="F406" s="3"/>
      <c r="G406" s="3"/>
      <c r="J406" s="15" t="str">
        <f t="shared" si="6"/>
        <v>43983Тольятти</v>
      </c>
    </row>
    <row r="407" spans="1:10" ht="14.25" customHeight="1" x14ac:dyDescent="0.25">
      <c r="A407" s="8">
        <v>43962</v>
      </c>
      <c r="B407" s="4" t="s">
        <v>12</v>
      </c>
      <c r="C407" s="4">
        <v>9007.5</v>
      </c>
      <c r="D407" s="4">
        <v>734335.5</v>
      </c>
      <c r="E407" s="3"/>
      <c r="F407" s="3"/>
      <c r="G407" s="3"/>
      <c r="J407" s="15" t="str">
        <f t="shared" si="6"/>
        <v>43962Тольятти</v>
      </c>
    </row>
    <row r="408" spans="1:10" ht="14.25" customHeight="1" x14ac:dyDescent="0.25">
      <c r="A408" s="7">
        <v>43980</v>
      </c>
      <c r="B408" s="2" t="s">
        <v>11</v>
      </c>
      <c r="C408" s="2">
        <v>87552</v>
      </c>
      <c r="D408" s="2">
        <v>7387116</v>
      </c>
      <c r="E408" s="3"/>
      <c r="F408" s="3"/>
      <c r="G408" s="3"/>
      <c r="J408" s="15" t="str">
        <f t="shared" si="6"/>
        <v>43980Екатеринбург</v>
      </c>
    </row>
    <row r="409" spans="1:10" ht="14.25" customHeight="1" x14ac:dyDescent="0.25">
      <c r="A409" s="8">
        <v>43969</v>
      </c>
      <c r="B409" s="4" t="s">
        <v>12</v>
      </c>
      <c r="C409" s="4">
        <v>11680.5</v>
      </c>
      <c r="D409" s="4">
        <v>936427.5</v>
      </c>
      <c r="E409" s="3"/>
      <c r="F409" s="3"/>
      <c r="G409" s="3"/>
      <c r="J409" s="15" t="str">
        <f t="shared" si="6"/>
        <v>43969Тольятти</v>
      </c>
    </row>
    <row r="410" spans="1:10" ht="14.25" customHeight="1" x14ac:dyDescent="0.25">
      <c r="A410" s="7">
        <v>43965</v>
      </c>
      <c r="B410" s="2" t="s">
        <v>12</v>
      </c>
      <c r="C410" s="2">
        <v>12037.5</v>
      </c>
      <c r="D410" s="2">
        <v>981564</v>
      </c>
      <c r="E410" s="3"/>
      <c r="F410" s="3"/>
      <c r="G410" s="3"/>
      <c r="J410" s="15" t="str">
        <f t="shared" si="6"/>
        <v>43965Тольятти</v>
      </c>
    </row>
    <row r="411" spans="1:10" ht="14.25" customHeight="1" x14ac:dyDescent="0.25">
      <c r="A411" s="8">
        <v>43966</v>
      </c>
      <c r="B411" s="4" t="s">
        <v>12</v>
      </c>
      <c r="C411" s="4">
        <v>14421</v>
      </c>
      <c r="D411" s="4">
        <v>1150579.5</v>
      </c>
      <c r="E411" s="3"/>
      <c r="F411" s="3"/>
      <c r="G411" s="3"/>
      <c r="J411" s="15" t="str">
        <f t="shared" si="6"/>
        <v>43966Тольятти</v>
      </c>
    </row>
    <row r="412" spans="1:10" ht="14.25" customHeight="1" x14ac:dyDescent="0.25">
      <c r="A412" s="7">
        <v>43980</v>
      </c>
      <c r="B412" s="2" t="s">
        <v>12</v>
      </c>
      <c r="C412" s="2">
        <v>14823</v>
      </c>
      <c r="D412" s="2">
        <v>1273464</v>
      </c>
      <c r="E412" s="3"/>
      <c r="F412" s="3"/>
      <c r="G412" s="3"/>
      <c r="J412" s="15" t="str">
        <f t="shared" si="6"/>
        <v>43980Тольятти</v>
      </c>
    </row>
    <row r="413" spans="1:10" ht="14.25" customHeight="1" x14ac:dyDescent="0.25">
      <c r="A413" s="8">
        <v>43978</v>
      </c>
      <c r="B413" s="4" t="s">
        <v>13</v>
      </c>
      <c r="C413" s="4">
        <v>31257</v>
      </c>
      <c r="D413" s="4">
        <v>2924133</v>
      </c>
      <c r="E413" s="3"/>
      <c r="F413" s="3"/>
      <c r="G413" s="3"/>
      <c r="J413" s="15" t="str">
        <f t="shared" si="6"/>
        <v>43978Нижний Новгород</v>
      </c>
    </row>
    <row r="414" spans="1:10" ht="14.25" customHeight="1" x14ac:dyDescent="0.25">
      <c r="A414" s="7">
        <v>43973</v>
      </c>
      <c r="B414" s="2" t="s">
        <v>13</v>
      </c>
      <c r="C414" s="2">
        <v>38074.5</v>
      </c>
      <c r="D414" s="2">
        <v>3414180</v>
      </c>
      <c r="E414" s="3"/>
      <c r="F414" s="3"/>
      <c r="G414" s="3"/>
      <c r="J414" s="15" t="str">
        <f t="shared" si="6"/>
        <v>43973Нижний Новгород</v>
      </c>
    </row>
    <row r="415" spans="1:10" ht="14.25" customHeight="1" x14ac:dyDescent="0.25">
      <c r="A415" s="8">
        <v>43983</v>
      </c>
      <c r="B415" s="4" t="s">
        <v>13</v>
      </c>
      <c r="C415" s="4">
        <v>32170.5</v>
      </c>
      <c r="D415" s="4">
        <v>3013512</v>
      </c>
      <c r="E415" s="3"/>
      <c r="F415" s="3"/>
      <c r="G415" s="3"/>
      <c r="J415" s="15" t="str">
        <f t="shared" si="6"/>
        <v>43983Нижний Новгород</v>
      </c>
    </row>
    <row r="416" spans="1:10" ht="14.25" customHeight="1" x14ac:dyDescent="0.25">
      <c r="A416" s="7">
        <v>43962</v>
      </c>
      <c r="B416" s="2" t="s">
        <v>13</v>
      </c>
      <c r="C416" s="2">
        <v>42397.5</v>
      </c>
      <c r="D416" s="2">
        <v>3911979</v>
      </c>
      <c r="E416" s="3"/>
      <c r="F416" s="3"/>
      <c r="G416" s="3"/>
      <c r="J416" s="15" t="str">
        <f t="shared" si="6"/>
        <v>43962Нижний Новгород</v>
      </c>
    </row>
    <row r="417" spans="1:10" ht="14.25" customHeight="1" x14ac:dyDescent="0.25">
      <c r="A417" s="8">
        <v>43969</v>
      </c>
      <c r="B417" s="4" t="s">
        <v>13</v>
      </c>
      <c r="C417" s="4">
        <v>28668</v>
      </c>
      <c r="D417" s="4">
        <v>2588148</v>
      </c>
      <c r="E417" s="3"/>
      <c r="F417" s="3"/>
      <c r="G417" s="3"/>
      <c r="J417" s="15" t="str">
        <f t="shared" si="6"/>
        <v>43969Нижний Новгород</v>
      </c>
    </row>
    <row r="418" spans="1:10" ht="14.25" customHeight="1" x14ac:dyDescent="0.25">
      <c r="A418" s="7">
        <v>43965</v>
      </c>
      <c r="B418" s="2" t="s">
        <v>13</v>
      </c>
      <c r="C418" s="2">
        <v>27411</v>
      </c>
      <c r="D418" s="2">
        <v>2441520</v>
      </c>
      <c r="E418" s="3"/>
      <c r="F418" s="3"/>
      <c r="G418" s="3"/>
      <c r="J418" s="15" t="str">
        <f t="shared" si="6"/>
        <v>43965Нижний Новгород</v>
      </c>
    </row>
    <row r="419" spans="1:10" ht="14.25" customHeight="1" x14ac:dyDescent="0.25">
      <c r="A419" s="8">
        <v>43966</v>
      </c>
      <c r="B419" s="4" t="s">
        <v>13</v>
      </c>
      <c r="C419" s="4">
        <v>32854.5</v>
      </c>
      <c r="D419" s="4">
        <v>2949078</v>
      </c>
      <c r="E419" s="3"/>
      <c r="F419" s="3"/>
      <c r="G419" s="3"/>
      <c r="J419" s="15" t="str">
        <f t="shared" si="6"/>
        <v>43966Нижний Новгород</v>
      </c>
    </row>
    <row r="420" spans="1:10" ht="14.25" customHeight="1" x14ac:dyDescent="0.25">
      <c r="A420" s="7">
        <v>43980</v>
      </c>
      <c r="B420" s="2" t="s">
        <v>13</v>
      </c>
      <c r="C420" s="2">
        <v>35346</v>
      </c>
      <c r="D420" s="2">
        <v>3258054</v>
      </c>
      <c r="E420" s="3"/>
      <c r="F420" s="3"/>
      <c r="G420" s="3"/>
      <c r="J420" s="15" t="str">
        <f t="shared" si="6"/>
        <v>43980Нижний Новгород</v>
      </c>
    </row>
    <row r="421" spans="1:10" ht="14.25" customHeight="1" x14ac:dyDescent="0.25">
      <c r="A421" s="8">
        <v>43978</v>
      </c>
      <c r="B421" s="4" t="s">
        <v>14</v>
      </c>
      <c r="C421" s="4">
        <v>286558.5</v>
      </c>
      <c r="D421" s="4">
        <v>29256993</v>
      </c>
      <c r="E421" s="3"/>
      <c r="F421" s="3"/>
      <c r="G421" s="3"/>
      <c r="J421" s="15" t="str">
        <f t="shared" si="6"/>
        <v>43978Санкт-Петербург Юг</v>
      </c>
    </row>
    <row r="422" spans="1:10" ht="14.25" customHeight="1" x14ac:dyDescent="0.25">
      <c r="A422" s="7">
        <v>43973</v>
      </c>
      <c r="B422" s="2" t="s">
        <v>14</v>
      </c>
      <c r="C422" s="2">
        <v>304092</v>
      </c>
      <c r="D422" s="2">
        <v>29465769</v>
      </c>
      <c r="E422" s="3"/>
      <c r="F422" s="3"/>
      <c r="G422" s="3"/>
      <c r="J422" s="15" t="str">
        <f t="shared" si="6"/>
        <v>43973Санкт-Петербург Юг</v>
      </c>
    </row>
    <row r="423" spans="1:10" ht="14.25" customHeight="1" x14ac:dyDescent="0.25">
      <c r="A423" s="8">
        <v>43983</v>
      </c>
      <c r="B423" s="4" t="s">
        <v>14</v>
      </c>
      <c r="C423" s="4">
        <v>272926.5</v>
      </c>
      <c r="D423" s="4">
        <v>27770092.5</v>
      </c>
      <c r="E423" s="3"/>
      <c r="F423" s="3"/>
      <c r="G423" s="3"/>
      <c r="J423" s="15" t="str">
        <f t="shared" si="6"/>
        <v>43983Санкт-Петербург Юг</v>
      </c>
    </row>
    <row r="424" spans="1:10" ht="14.25" customHeight="1" x14ac:dyDescent="0.25">
      <c r="A424" s="7">
        <v>43962</v>
      </c>
      <c r="B424" s="2" t="s">
        <v>14</v>
      </c>
      <c r="C424" s="2">
        <v>237099</v>
      </c>
      <c r="D424" s="2">
        <v>24628233.223949999</v>
      </c>
      <c r="E424" s="3"/>
      <c r="F424" s="3"/>
      <c r="G424" s="3"/>
      <c r="J424" s="15" t="str">
        <f t="shared" si="6"/>
        <v>43962Санкт-Петербург Юг</v>
      </c>
    </row>
    <row r="425" spans="1:10" ht="14.25" customHeight="1" x14ac:dyDescent="0.25">
      <c r="A425" s="8">
        <v>43969</v>
      </c>
      <c r="B425" s="4" t="s">
        <v>14</v>
      </c>
      <c r="C425" s="4">
        <v>273900</v>
      </c>
      <c r="D425" s="4">
        <v>27535284.147600003</v>
      </c>
      <c r="E425" s="3"/>
      <c r="F425" s="3"/>
      <c r="G425" s="3"/>
      <c r="J425" s="15" t="str">
        <f t="shared" si="6"/>
        <v>43969Санкт-Петербург Юг</v>
      </c>
    </row>
    <row r="426" spans="1:10" ht="14.25" customHeight="1" x14ac:dyDescent="0.25">
      <c r="A426" s="7">
        <v>43965</v>
      </c>
      <c r="B426" s="2" t="s">
        <v>14</v>
      </c>
      <c r="C426" s="2">
        <v>274059</v>
      </c>
      <c r="D426" s="2">
        <v>28181292</v>
      </c>
      <c r="E426" s="3"/>
      <c r="F426" s="3"/>
      <c r="G426" s="3"/>
      <c r="J426" s="15" t="str">
        <f t="shared" si="6"/>
        <v>43965Санкт-Петербург Юг</v>
      </c>
    </row>
    <row r="427" spans="1:10" ht="14.25" customHeight="1" x14ac:dyDescent="0.25">
      <c r="A427" s="8">
        <v>43966</v>
      </c>
      <c r="B427" s="4" t="s">
        <v>14</v>
      </c>
      <c r="C427" s="4">
        <v>318816</v>
      </c>
      <c r="D427" s="4">
        <v>32354331</v>
      </c>
      <c r="E427" s="3"/>
      <c r="F427" s="3"/>
      <c r="G427" s="3"/>
      <c r="J427" s="15" t="str">
        <f t="shared" si="6"/>
        <v>43966Санкт-Петербург Юг</v>
      </c>
    </row>
    <row r="428" spans="1:10" ht="14.25" customHeight="1" x14ac:dyDescent="0.25">
      <c r="A428" s="7">
        <v>43978</v>
      </c>
      <c r="B428" s="2" t="s">
        <v>15</v>
      </c>
      <c r="C428" s="2">
        <v>370012.5</v>
      </c>
      <c r="D428" s="2">
        <v>39034861.5</v>
      </c>
      <c r="E428" s="3"/>
      <c r="F428" s="3"/>
      <c r="G428" s="3"/>
      <c r="J428" s="15" t="str">
        <f t="shared" si="6"/>
        <v>43978Санкт-Петербург Север</v>
      </c>
    </row>
    <row r="429" spans="1:10" ht="14.25" customHeight="1" x14ac:dyDescent="0.25">
      <c r="A429" s="8">
        <v>43973</v>
      </c>
      <c r="B429" s="4" t="s">
        <v>15</v>
      </c>
      <c r="C429" s="4">
        <v>393018</v>
      </c>
      <c r="D429" s="4">
        <v>39498373.5</v>
      </c>
      <c r="E429" s="3"/>
      <c r="F429" s="3"/>
      <c r="G429" s="3"/>
      <c r="J429" s="15" t="str">
        <f t="shared" si="6"/>
        <v>43973Санкт-Петербург Север</v>
      </c>
    </row>
    <row r="430" spans="1:10" ht="14.25" customHeight="1" x14ac:dyDescent="0.25">
      <c r="A430" s="7">
        <v>43983</v>
      </c>
      <c r="B430" s="2" t="s">
        <v>15</v>
      </c>
      <c r="C430" s="2">
        <v>349699.5</v>
      </c>
      <c r="D430" s="2">
        <v>37257840.18135</v>
      </c>
      <c r="E430" s="3"/>
      <c r="F430" s="3"/>
      <c r="G430" s="3"/>
      <c r="J430" s="15" t="str">
        <f t="shared" si="6"/>
        <v>43983Санкт-Петербург Север</v>
      </c>
    </row>
    <row r="431" spans="1:10" ht="14.25" customHeight="1" x14ac:dyDescent="0.25">
      <c r="A431" s="8">
        <v>43962</v>
      </c>
      <c r="B431" s="4" t="s">
        <v>15</v>
      </c>
      <c r="C431" s="4">
        <v>318565.5</v>
      </c>
      <c r="D431" s="4">
        <v>33781581</v>
      </c>
      <c r="E431" s="3"/>
      <c r="F431" s="3"/>
      <c r="G431" s="3"/>
      <c r="J431" s="15" t="str">
        <f t="shared" si="6"/>
        <v>43962Санкт-Петербург Север</v>
      </c>
    </row>
    <row r="432" spans="1:10" ht="14.25" customHeight="1" x14ac:dyDescent="0.25">
      <c r="A432" s="7">
        <v>43980</v>
      </c>
      <c r="B432" s="2" t="s">
        <v>14</v>
      </c>
      <c r="C432" s="2">
        <v>422965.5</v>
      </c>
      <c r="D432" s="2">
        <v>41767140.105000004</v>
      </c>
      <c r="E432" s="3"/>
      <c r="F432" s="3"/>
      <c r="G432" s="3"/>
      <c r="J432" s="15" t="str">
        <f t="shared" si="6"/>
        <v>43980Санкт-Петербург Юг</v>
      </c>
    </row>
    <row r="433" spans="1:10" ht="14.25" customHeight="1" x14ac:dyDescent="0.25">
      <c r="A433" s="8">
        <v>43969</v>
      </c>
      <c r="B433" s="4" t="s">
        <v>15</v>
      </c>
      <c r="C433" s="4">
        <v>355081.5</v>
      </c>
      <c r="D433" s="4">
        <v>36876888</v>
      </c>
      <c r="E433" s="3"/>
      <c r="F433" s="3"/>
      <c r="G433" s="3"/>
      <c r="J433" s="15" t="str">
        <f t="shared" si="6"/>
        <v>43969Санкт-Петербург Север</v>
      </c>
    </row>
    <row r="434" spans="1:10" ht="14.25" customHeight="1" x14ac:dyDescent="0.25">
      <c r="A434" s="7">
        <v>43965</v>
      </c>
      <c r="B434" s="2" t="s">
        <v>15</v>
      </c>
      <c r="C434" s="2">
        <v>358387.5</v>
      </c>
      <c r="D434" s="2">
        <v>37963150.5</v>
      </c>
      <c r="E434" s="3"/>
      <c r="F434" s="3"/>
      <c r="G434" s="3"/>
      <c r="J434" s="15" t="str">
        <f t="shared" si="6"/>
        <v>43965Санкт-Петербург Север</v>
      </c>
    </row>
    <row r="435" spans="1:10" ht="14.25" customHeight="1" x14ac:dyDescent="0.25">
      <c r="A435" s="8">
        <v>43966</v>
      </c>
      <c r="B435" s="4" t="s">
        <v>15</v>
      </c>
      <c r="C435" s="4">
        <v>403261.5</v>
      </c>
      <c r="D435" s="4">
        <v>42271377</v>
      </c>
      <c r="E435" s="3"/>
      <c r="F435" s="3"/>
      <c r="G435" s="3"/>
      <c r="J435" s="15" t="str">
        <f t="shared" si="6"/>
        <v>43966Санкт-Петербург Север</v>
      </c>
    </row>
    <row r="436" spans="1:10" ht="14.25" customHeight="1" x14ac:dyDescent="0.25">
      <c r="A436" s="7">
        <v>43978</v>
      </c>
      <c r="B436" s="2" t="s">
        <v>16</v>
      </c>
      <c r="C436" s="2">
        <v>69010.5</v>
      </c>
      <c r="D436" s="2">
        <v>5985894</v>
      </c>
      <c r="E436" s="3"/>
      <c r="F436" s="3"/>
      <c r="G436" s="3"/>
      <c r="J436" s="15" t="str">
        <f t="shared" si="6"/>
        <v>43978Волгоград</v>
      </c>
    </row>
    <row r="437" spans="1:10" ht="14.25" customHeight="1" x14ac:dyDescent="0.25">
      <c r="A437" s="8">
        <v>43973</v>
      </c>
      <c r="B437" s="4" t="s">
        <v>16</v>
      </c>
      <c r="C437" s="4">
        <v>75820.5</v>
      </c>
      <c r="D437" s="4">
        <v>5943489</v>
      </c>
      <c r="E437" s="3"/>
      <c r="F437" s="3"/>
      <c r="G437" s="3"/>
      <c r="J437" s="15" t="str">
        <f t="shared" si="6"/>
        <v>43973Волгоград</v>
      </c>
    </row>
    <row r="438" spans="1:10" ht="14.25" customHeight="1" x14ac:dyDescent="0.25">
      <c r="A438" s="7">
        <v>43983</v>
      </c>
      <c r="B438" s="2" t="s">
        <v>16</v>
      </c>
      <c r="C438" s="2">
        <v>64740</v>
      </c>
      <c r="D438" s="2">
        <v>5800290</v>
      </c>
      <c r="E438" s="3"/>
      <c r="F438" s="3"/>
      <c r="G438" s="3"/>
      <c r="J438" s="15" t="str">
        <f t="shared" si="6"/>
        <v>43983Волгоград</v>
      </c>
    </row>
    <row r="439" spans="1:10" ht="14.25" customHeight="1" x14ac:dyDescent="0.25">
      <c r="A439" s="8">
        <v>43962</v>
      </c>
      <c r="B439" s="4" t="s">
        <v>16</v>
      </c>
      <c r="C439" s="4">
        <v>59574</v>
      </c>
      <c r="D439" s="4">
        <v>5178169.5</v>
      </c>
      <c r="E439" s="3"/>
      <c r="F439" s="3"/>
      <c r="G439" s="3"/>
      <c r="J439" s="15" t="str">
        <f t="shared" si="6"/>
        <v>43962Волгоград</v>
      </c>
    </row>
    <row r="440" spans="1:10" ht="14.25" customHeight="1" x14ac:dyDescent="0.25">
      <c r="A440" s="7">
        <v>43980</v>
      </c>
      <c r="B440" s="2" t="s">
        <v>15</v>
      </c>
      <c r="C440" s="2">
        <v>524481</v>
      </c>
      <c r="D440" s="2">
        <v>54172029</v>
      </c>
      <c r="E440" s="3"/>
      <c r="F440" s="3"/>
      <c r="G440" s="3"/>
      <c r="J440" s="15" t="str">
        <f t="shared" si="6"/>
        <v>43980Санкт-Петербург Север</v>
      </c>
    </row>
    <row r="441" spans="1:10" ht="14.25" customHeight="1" x14ac:dyDescent="0.25">
      <c r="A441" s="8">
        <v>43969</v>
      </c>
      <c r="B441" s="4" t="s">
        <v>16</v>
      </c>
      <c r="C441" s="4">
        <v>70278</v>
      </c>
      <c r="D441" s="4">
        <v>5798476.5</v>
      </c>
      <c r="E441" s="3"/>
      <c r="F441" s="3"/>
      <c r="G441" s="3"/>
      <c r="J441" s="15" t="str">
        <f t="shared" si="6"/>
        <v>43969Волгоград</v>
      </c>
    </row>
    <row r="442" spans="1:10" ht="14.25" customHeight="1" x14ac:dyDescent="0.25">
      <c r="A442" s="7">
        <v>43965</v>
      </c>
      <c r="B442" s="2" t="s">
        <v>16</v>
      </c>
      <c r="C442" s="2">
        <v>63645</v>
      </c>
      <c r="D442" s="2">
        <v>5366602.5</v>
      </c>
      <c r="E442" s="3"/>
      <c r="F442" s="3"/>
      <c r="G442" s="3"/>
      <c r="J442" s="15" t="str">
        <f t="shared" si="6"/>
        <v>43965Волгоград</v>
      </c>
    </row>
    <row r="443" spans="1:10" ht="14.25" customHeight="1" x14ac:dyDescent="0.25">
      <c r="A443" s="8">
        <v>43966</v>
      </c>
      <c r="B443" s="4" t="s">
        <v>16</v>
      </c>
      <c r="C443" s="4">
        <v>75642</v>
      </c>
      <c r="D443" s="4">
        <v>6293952</v>
      </c>
      <c r="E443" s="3"/>
      <c r="F443" s="3"/>
      <c r="G443" s="3"/>
      <c r="J443" s="15" t="str">
        <f t="shared" si="6"/>
        <v>43966Волгоград</v>
      </c>
    </row>
    <row r="444" spans="1:10" ht="14.25" customHeight="1" x14ac:dyDescent="0.25">
      <c r="A444" s="7">
        <v>43978</v>
      </c>
      <c r="B444" s="2" t="s">
        <v>17</v>
      </c>
      <c r="C444" s="2">
        <v>40420.5</v>
      </c>
      <c r="D444" s="2">
        <v>3780852</v>
      </c>
      <c r="E444" s="3"/>
      <c r="F444" s="3"/>
      <c r="G444" s="3"/>
      <c r="J444" s="15" t="str">
        <f t="shared" si="6"/>
        <v>43978Казань</v>
      </c>
    </row>
    <row r="445" spans="1:10" ht="14.25" customHeight="1" x14ac:dyDescent="0.25">
      <c r="A445" s="8">
        <v>43973</v>
      </c>
      <c r="B445" s="4" t="s">
        <v>17</v>
      </c>
      <c r="C445" s="4">
        <v>53838</v>
      </c>
      <c r="D445" s="4">
        <v>4840833</v>
      </c>
      <c r="E445" s="3"/>
      <c r="F445" s="3"/>
      <c r="G445" s="3"/>
      <c r="J445" s="15" t="str">
        <f t="shared" si="6"/>
        <v>43973Казань</v>
      </c>
    </row>
    <row r="446" spans="1:10" ht="14.25" customHeight="1" x14ac:dyDescent="0.25">
      <c r="A446" s="7">
        <v>43983</v>
      </c>
      <c r="B446" s="2" t="s">
        <v>17</v>
      </c>
      <c r="C446" s="2">
        <v>40528.5</v>
      </c>
      <c r="D446" s="2">
        <v>3865251</v>
      </c>
      <c r="E446" s="3"/>
      <c r="F446" s="3"/>
      <c r="G446" s="3"/>
      <c r="J446" s="15" t="str">
        <f t="shared" si="6"/>
        <v>43983Казань</v>
      </c>
    </row>
    <row r="447" spans="1:10" ht="14.25" customHeight="1" x14ac:dyDescent="0.25">
      <c r="A447" s="8">
        <v>43962</v>
      </c>
      <c r="B447" s="4" t="s">
        <v>17</v>
      </c>
      <c r="C447" s="4">
        <v>32733</v>
      </c>
      <c r="D447" s="4">
        <v>3079630.5</v>
      </c>
      <c r="E447" s="3"/>
      <c r="F447" s="3"/>
      <c r="G447" s="3"/>
      <c r="J447" s="15" t="str">
        <f t="shared" si="6"/>
        <v>43962Казань</v>
      </c>
    </row>
    <row r="448" spans="1:10" ht="14.25" customHeight="1" x14ac:dyDescent="0.25">
      <c r="A448" s="7">
        <v>43980</v>
      </c>
      <c r="B448" s="2" t="s">
        <v>16</v>
      </c>
      <c r="C448" s="2">
        <v>84433.5</v>
      </c>
      <c r="D448" s="2">
        <v>7228395</v>
      </c>
      <c r="E448" s="3"/>
      <c r="F448" s="3"/>
      <c r="G448" s="3"/>
      <c r="J448" s="15" t="str">
        <f t="shared" si="6"/>
        <v>43980Волгоград</v>
      </c>
    </row>
    <row r="449" spans="1:10" ht="14.25" customHeight="1" x14ac:dyDescent="0.25">
      <c r="A449" s="8">
        <v>43969</v>
      </c>
      <c r="B449" s="4" t="s">
        <v>17</v>
      </c>
      <c r="C449" s="4">
        <v>36655.5</v>
      </c>
      <c r="D449" s="4">
        <v>3360135</v>
      </c>
      <c r="E449" s="3"/>
      <c r="F449" s="3"/>
      <c r="G449" s="3"/>
      <c r="J449" s="15" t="str">
        <f t="shared" si="6"/>
        <v>43969Казань</v>
      </c>
    </row>
    <row r="450" spans="1:10" ht="14.25" customHeight="1" x14ac:dyDescent="0.25">
      <c r="A450" s="7">
        <v>43965</v>
      </c>
      <c r="B450" s="2" t="s">
        <v>17</v>
      </c>
      <c r="C450" s="2">
        <v>33886.5</v>
      </c>
      <c r="D450" s="2">
        <v>3166479</v>
      </c>
      <c r="E450" s="3"/>
      <c r="F450" s="3"/>
      <c r="G450" s="3"/>
      <c r="J450" s="15" t="str">
        <f t="shared" ref="J450:J505" si="7">--A450&amp;B450</f>
        <v>43965Казань</v>
      </c>
    </row>
    <row r="451" spans="1:10" ht="14.25" customHeight="1" x14ac:dyDescent="0.25">
      <c r="A451" s="8">
        <v>43966</v>
      </c>
      <c r="B451" s="4" t="s">
        <v>17</v>
      </c>
      <c r="C451" s="4">
        <v>41697</v>
      </c>
      <c r="D451" s="4">
        <v>3772258.5</v>
      </c>
      <c r="E451" s="3"/>
      <c r="F451" s="3"/>
      <c r="G451" s="3"/>
      <c r="J451" s="15" t="str">
        <f t="shared" si="7"/>
        <v>43966Казань</v>
      </c>
    </row>
    <row r="452" spans="1:10" ht="14.25" customHeight="1" x14ac:dyDescent="0.25">
      <c r="A452" s="7">
        <v>43980</v>
      </c>
      <c r="B452" s="2" t="s">
        <v>17</v>
      </c>
      <c r="C452" s="2">
        <v>44569.5</v>
      </c>
      <c r="D452" s="2">
        <v>4108596</v>
      </c>
      <c r="E452" s="3"/>
      <c r="F452" s="3"/>
      <c r="G452" s="3"/>
      <c r="J452" s="15" t="str">
        <f t="shared" si="7"/>
        <v>43980Казань</v>
      </c>
    </row>
    <row r="453" spans="1:10" ht="14.25" customHeight="1" x14ac:dyDescent="0.25">
      <c r="A453" s="8">
        <v>43978</v>
      </c>
      <c r="B453" s="4" t="s">
        <v>18</v>
      </c>
      <c r="C453" s="4">
        <v>18069</v>
      </c>
      <c r="D453" s="4">
        <v>1603084.5</v>
      </c>
      <c r="E453" s="3"/>
      <c r="F453" s="3"/>
      <c r="G453" s="3"/>
      <c r="J453" s="15" t="str">
        <f t="shared" si="7"/>
        <v>43978Пермь</v>
      </c>
    </row>
    <row r="454" spans="1:10" ht="14.25" customHeight="1" x14ac:dyDescent="0.25">
      <c r="A454" s="7">
        <v>43973</v>
      </c>
      <c r="B454" s="2" t="s">
        <v>18</v>
      </c>
      <c r="C454" s="2">
        <v>21483</v>
      </c>
      <c r="D454" s="2">
        <v>1774329</v>
      </c>
      <c r="E454" s="3"/>
      <c r="F454" s="3"/>
      <c r="G454" s="3"/>
      <c r="J454" s="15" t="str">
        <f t="shared" si="7"/>
        <v>43973Пермь</v>
      </c>
    </row>
    <row r="455" spans="1:10" ht="14.25" customHeight="1" x14ac:dyDescent="0.25">
      <c r="A455" s="8">
        <v>43983</v>
      </c>
      <c r="B455" s="4" t="s">
        <v>18</v>
      </c>
      <c r="C455" s="4">
        <v>16687.5</v>
      </c>
      <c r="D455" s="4">
        <v>1526608.5</v>
      </c>
      <c r="E455" s="3"/>
      <c r="F455" s="3"/>
      <c r="G455" s="3"/>
      <c r="J455" s="15" t="str">
        <f t="shared" si="7"/>
        <v>43983Пермь</v>
      </c>
    </row>
    <row r="456" spans="1:10" ht="14.25" customHeight="1" x14ac:dyDescent="0.25">
      <c r="A456" s="7">
        <v>43962</v>
      </c>
      <c r="B456" s="2" t="s">
        <v>18</v>
      </c>
      <c r="C456" s="2">
        <v>12238.5</v>
      </c>
      <c r="D456" s="2">
        <v>1096002</v>
      </c>
      <c r="E456" s="3"/>
      <c r="F456" s="3"/>
      <c r="G456" s="3"/>
      <c r="J456" s="15" t="str">
        <f t="shared" si="7"/>
        <v>43962Пермь</v>
      </c>
    </row>
    <row r="457" spans="1:10" ht="14.25" customHeight="1" x14ac:dyDescent="0.25">
      <c r="A457" s="8">
        <v>43969</v>
      </c>
      <c r="B457" s="4" t="s">
        <v>18</v>
      </c>
      <c r="C457" s="4">
        <v>14290.5</v>
      </c>
      <c r="D457" s="4">
        <v>1246162.5</v>
      </c>
      <c r="E457" s="3"/>
      <c r="F457" s="3"/>
      <c r="G457" s="3"/>
      <c r="J457" s="15" t="str">
        <f t="shared" si="7"/>
        <v>43969Пермь</v>
      </c>
    </row>
    <row r="458" spans="1:10" ht="14.25" customHeight="1" x14ac:dyDescent="0.25">
      <c r="A458" s="7">
        <v>43965</v>
      </c>
      <c r="B458" s="2" t="s">
        <v>18</v>
      </c>
      <c r="C458" s="2">
        <v>14385</v>
      </c>
      <c r="D458" s="2">
        <v>1223491.5</v>
      </c>
      <c r="E458" s="3"/>
      <c r="F458" s="3"/>
      <c r="G458" s="3"/>
      <c r="J458" s="15" t="str">
        <f t="shared" si="7"/>
        <v>43965Пермь</v>
      </c>
    </row>
    <row r="459" spans="1:10" ht="14.25" customHeight="1" x14ac:dyDescent="0.25">
      <c r="A459" s="8">
        <v>43966</v>
      </c>
      <c r="B459" s="4" t="s">
        <v>18</v>
      </c>
      <c r="C459" s="4">
        <v>16498.5</v>
      </c>
      <c r="D459" s="4">
        <v>1370482.5</v>
      </c>
      <c r="E459" s="3"/>
      <c r="F459" s="3"/>
      <c r="G459" s="3"/>
      <c r="J459" s="15" t="str">
        <f t="shared" si="7"/>
        <v>43966Пермь</v>
      </c>
    </row>
    <row r="460" spans="1:10" ht="14.25" customHeight="1" x14ac:dyDescent="0.25">
      <c r="A460" s="7">
        <v>43978</v>
      </c>
      <c r="B460" s="2" t="s">
        <v>19</v>
      </c>
      <c r="C460" s="2">
        <v>13203</v>
      </c>
      <c r="D460" s="2">
        <v>1211457</v>
      </c>
      <c r="E460" s="3"/>
      <c r="F460" s="3"/>
      <c r="G460" s="3"/>
      <c r="J460" s="15" t="str">
        <f t="shared" si="7"/>
        <v>43978Ростов-на-Дону</v>
      </c>
    </row>
    <row r="461" spans="1:10" ht="14.25" customHeight="1" x14ac:dyDescent="0.25">
      <c r="A461" s="8">
        <v>43973</v>
      </c>
      <c r="B461" s="4" t="s">
        <v>19</v>
      </c>
      <c r="C461" s="4">
        <v>15802.5</v>
      </c>
      <c r="D461" s="4">
        <v>1411909.5</v>
      </c>
      <c r="E461" s="3"/>
      <c r="F461" s="3"/>
      <c r="G461" s="3"/>
      <c r="J461" s="15" t="str">
        <f t="shared" si="7"/>
        <v>43973Ростов-на-Дону</v>
      </c>
    </row>
    <row r="462" spans="1:10" ht="14.25" customHeight="1" x14ac:dyDescent="0.25">
      <c r="A462" s="7">
        <v>43983</v>
      </c>
      <c r="B462" s="2" t="s">
        <v>19</v>
      </c>
      <c r="C462" s="2">
        <v>16476</v>
      </c>
      <c r="D462" s="2">
        <v>1565632.5</v>
      </c>
      <c r="E462" s="3"/>
      <c r="F462" s="3"/>
      <c r="G462" s="3"/>
      <c r="J462" s="15" t="str">
        <f t="shared" si="7"/>
        <v>43983Ростов-на-Дону</v>
      </c>
    </row>
    <row r="463" spans="1:10" ht="14.25" customHeight="1" x14ac:dyDescent="0.25">
      <c r="A463" s="8">
        <v>43962</v>
      </c>
      <c r="B463" s="4" t="s">
        <v>19</v>
      </c>
      <c r="C463" s="4">
        <v>12654</v>
      </c>
      <c r="D463" s="4">
        <v>1081158</v>
      </c>
      <c r="E463" s="3"/>
      <c r="F463" s="3"/>
      <c r="G463" s="3"/>
      <c r="J463" s="15" t="str">
        <f t="shared" si="7"/>
        <v>43962Ростов-на-Дону</v>
      </c>
    </row>
    <row r="464" spans="1:10" ht="14.25" customHeight="1" x14ac:dyDescent="0.25">
      <c r="A464" s="7">
        <v>43980</v>
      </c>
      <c r="B464" s="2" t="s">
        <v>18</v>
      </c>
      <c r="C464" s="2">
        <v>19647</v>
      </c>
      <c r="D464" s="2">
        <v>1764669</v>
      </c>
      <c r="E464" s="3"/>
      <c r="F464" s="3"/>
      <c r="G464" s="3"/>
      <c r="J464" s="15" t="str">
        <f t="shared" si="7"/>
        <v>43980Пермь</v>
      </c>
    </row>
    <row r="465" spans="1:10" ht="14.25" customHeight="1" x14ac:dyDescent="0.25">
      <c r="A465" s="8">
        <v>43969</v>
      </c>
      <c r="B465" s="4" t="s">
        <v>19</v>
      </c>
      <c r="C465" s="4">
        <v>12450</v>
      </c>
      <c r="D465" s="4">
        <v>1115146.5</v>
      </c>
      <c r="E465" s="3"/>
      <c r="F465" s="3"/>
      <c r="G465" s="3"/>
      <c r="J465" s="15" t="str">
        <f t="shared" si="7"/>
        <v>43969Ростов-на-Дону</v>
      </c>
    </row>
    <row r="466" spans="1:10" ht="14.25" customHeight="1" x14ac:dyDescent="0.25">
      <c r="A466" s="7">
        <v>43965</v>
      </c>
      <c r="B466" s="2" t="s">
        <v>19</v>
      </c>
      <c r="C466" s="2">
        <v>11161.5</v>
      </c>
      <c r="D466" s="2">
        <v>963502.5</v>
      </c>
      <c r="E466" s="3"/>
      <c r="F466" s="3"/>
      <c r="G466" s="3"/>
      <c r="J466" s="15" t="str">
        <f t="shared" si="7"/>
        <v>43965Ростов-на-Дону</v>
      </c>
    </row>
    <row r="467" spans="1:10" ht="14.25" customHeight="1" x14ac:dyDescent="0.25">
      <c r="A467" s="8">
        <v>43966</v>
      </c>
      <c r="B467" s="4" t="s">
        <v>19</v>
      </c>
      <c r="C467" s="4">
        <v>12229.5</v>
      </c>
      <c r="D467" s="4">
        <v>1122730.5</v>
      </c>
      <c r="E467" s="3"/>
      <c r="F467" s="3"/>
      <c r="G467" s="3"/>
      <c r="J467" s="15" t="str">
        <f t="shared" si="7"/>
        <v>43966Ростов-на-Дону</v>
      </c>
    </row>
    <row r="468" spans="1:10" ht="14.25" customHeight="1" x14ac:dyDescent="0.25">
      <c r="A468" s="7">
        <v>43978</v>
      </c>
      <c r="B468" s="2" t="s">
        <v>20</v>
      </c>
      <c r="C468" s="2">
        <v>28050</v>
      </c>
      <c r="D468" s="2">
        <v>2458555.5</v>
      </c>
      <c r="E468" s="3"/>
      <c r="F468" s="3"/>
      <c r="G468" s="3"/>
      <c r="J468" s="15" t="str">
        <f t="shared" si="7"/>
        <v>43978Краснодар</v>
      </c>
    </row>
    <row r="469" spans="1:10" ht="14.25" customHeight="1" x14ac:dyDescent="0.25">
      <c r="A469" s="8">
        <v>43973</v>
      </c>
      <c r="B469" s="4" t="s">
        <v>20</v>
      </c>
      <c r="C469" s="4">
        <v>30781.5</v>
      </c>
      <c r="D469" s="4">
        <v>2540715</v>
      </c>
      <c r="E469" s="3"/>
      <c r="F469" s="3"/>
      <c r="G469" s="3"/>
      <c r="J469" s="15" t="str">
        <f t="shared" si="7"/>
        <v>43973Краснодар</v>
      </c>
    </row>
    <row r="470" spans="1:10" ht="14.25" customHeight="1" x14ac:dyDescent="0.25">
      <c r="A470" s="7">
        <v>43983</v>
      </c>
      <c r="B470" s="2" t="s">
        <v>20</v>
      </c>
      <c r="C470" s="2">
        <v>27960</v>
      </c>
      <c r="D470" s="2">
        <v>2538967.5</v>
      </c>
      <c r="E470" s="3"/>
      <c r="F470" s="3"/>
      <c r="G470" s="3"/>
      <c r="J470" s="15" t="str">
        <f t="shared" si="7"/>
        <v>43983Краснодар</v>
      </c>
    </row>
    <row r="471" spans="1:10" ht="14.25" customHeight="1" x14ac:dyDescent="0.25">
      <c r="A471" s="8">
        <v>43962</v>
      </c>
      <c r="B471" s="4" t="s">
        <v>20</v>
      </c>
      <c r="C471" s="4">
        <v>23629.5</v>
      </c>
      <c r="D471" s="4">
        <v>2164365</v>
      </c>
      <c r="E471" s="3"/>
      <c r="F471" s="3"/>
      <c r="G471" s="3"/>
      <c r="J471" s="15" t="str">
        <f t="shared" si="7"/>
        <v>43962Краснодар</v>
      </c>
    </row>
    <row r="472" spans="1:10" ht="14.25" customHeight="1" x14ac:dyDescent="0.25">
      <c r="A472" s="7">
        <v>43980</v>
      </c>
      <c r="B472" s="2" t="s">
        <v>19</v>
      </c>
      <c r="C472" s="2">
        <v>17052</v>
      </c>
      <c r="D472" s="2">
        <v>1549020</v>
      </c>
      <c r="E472" s="3"/>
      <c r="F472" s="3"/>
      <c r="G472" s="3"/>
      <c r="J472" s="15" t="str">
        <f t="shared" si="7"/>
        <v>43980Ростов-на-Дону</v>
      </c>
    </row>
    <row r="473" spans="1:10" ht="14.25" customHeight="1" x14ac:dyDescent="0.25">
      <c r="A473" s="8">
        <v>43969</v>
      </c>
      <c r="B473" s="4" t="s">
        <v>20</v>
      </c>
      <c r="C473" s="4">
        <v>27181.5</v>
      </c>
      <c r="D473" s="4">
        <v>2324490</v>
      </c>
      <c r="E473" s="3"/>
      <c r="F473" s="3"/>
      <c r="G473" s="3"/>
      <c r="J473" s="15" t="str">
        <f t="shared" si="7"/>
        <v>43969Краснодар</v>
      </c>
    </row>
    <row r="474" spans="1:10" ht="14.25" customHeight="1" x14ac:dyDescent="0.25">
      <c r="A474" s="7">
        <v>43965</v>
      </c>
      <c r="B474" s="2" t="s">
        <v>20</v>
      </c>
      <c r="C474" s="2">
        <v>25656</v>
      </c>
      <c r="D474" s="2">
        <v>2225341.5</v>
      </c>
      <c r="E474" s="3"/>
      <c r="F474" s="3"/>
      <c r="G474" s="3"/>
      <c r="J474" s="15" t="str">
        <f t="shared" si="7"/>
        <v>43965Краснодар</v>
      </c>
    </row>
    <row r="475" spans="1:10" ht="14.25" customHeight="1" x14ac:dyDescent="0.25">
      <c r="A475" s="8">
        <v>43966</v>
      </c>
      <c r="B475" s="4" t="s">
        <v>20</v>
      </c>
      <c r="C475" s="4">
        <v>29283</v>
      </c>
      <c r="D475" s="4">
        <v>2477487</v>
      </c>
      <c r="E475" s="3"/>
      <c r="F475" s="3"/>
      <c r="G475" s="3"/>
      <c r="J475" s="15" t="str">
        <f t="shared" si="7"/>
        <v>43966Краснодар</v>
      </c>
    </row>
    <row r="476" spans="1:10" ht="14.25" customHeight="1" x14ac:dyDescent="0.25">
      <c r="A476" s="7">
        <v>43980</v>
      </c>
      <c r="B476" s="2" t="s">
        <v>20</v>
      </c>
      <c r="C476" s="2">
        <v>32782.5</v>
      </c>
      <c r="D476" s="2">
        <v>2854741.5</v>
      </c>
      <c r="E476" s="3"/>
      <c r="F476" s="3"/>
      <c r="G476" s="3"/>
      <c r="J476" s="15" t="str">
        <f t="shared" si="7"/>
        <v>43980Краснодар</v>
      </c>
    </row>
    <row r="477" spans="1:10" ht="14.25" customHeight="1" x14ac:dyDescent="0.25">
      <c r="A477" s="8">
        <v>43978</v>
      </c>
      <c r="B477" s="4" t="s">
        <v>21</v>
      </c>
      <c r="C477" s="4">
        <v>215592</v>
      </c>
      <c r="D477" s="4">
        <v>22342300.5</v>
      </c>
      <c r="E477" s="3"/>
      <c r="F477" s="3"/>
      <c r="G477" s="3"/>
      <c r="J477" s="15" t="str">
        <f t="shared" si="7"/>
        <v>43978Москва Запад</v>
      </c>
    </row>
    <row r="478" spans="1:10" ht="14.25" customHeight="1" x14ac:dyDescent="0.25">
      <c r="A478" s="7">
        <v>43973</v>
      </c>
      <c r="B478" s="2" t="s">
        <v>21</v>
      </c>
      <c r="C478" s="2">
        <v>228334.5</v>
      </c>
      <c r="D478" s="2">
        <v>22380772.5</v>
      </c>
      <c r="E478" s="3"/>
      <c r="F478" s="3"/>
      <c r="G478" s="3"/>
      <c r="J478" s="15" t="str">
        <f t="shared" si="7"/>
        <v>43973Москва Запад</v>
      </c>
    </row>
    <row r="479" spans="1:10" ht="14.25" customHeight="1" x14ac:dyDescent="0.25">
      <c r="A479" s="8">
        <v>43983</v>
      </c>
      <c r="B479" s="4" t="s">
        <v>21</v>
      </c>
      <c r="C479" s="4">
        <v>188776.5</v>
      </c>
      <c r="D479" s="4">
        <v>19465372.5</v>
      </c>
      <c r="E479" s="3"/>
      <c r="F479" s="3"/>
      <c r="G479" s="3"/>
      <c r="J479" s="15" t="str">
        <f t="shared" si="7"/>
        <v>43983Москва Запад</v>
      </c>
    </row>
    <row r="480" spans="1:10" ht="14.25" customHeight="1" x14ac:dyDescent="0.25">
      <c r="A480" s="7">
        <v>43962</v>
      </c>
      <c r="B480" s="2" t="s">
        <v>21</v>
      </c>
      <c r="C480" s="2">
        <v>175293</v>
      </c>
      <c r="D480" s="2">
        <v>17919144</v>
      </c>
      <c r="E480" s="3"/>
      <c r="F480" s="3"/>
      <c r="G480" s="3"/>
      <c r="J480" s="15" t="str">
        <f t="shared" si="7"/>
        <v>43962Москва Запад</v>
      </c>
    </row>
    <row r="481" spans="1:10" ht="14.25" customHeight="1" x14ac:dyDescent="0.25">
      <c r="A481" s="8">
        <v>43969</v>
      </c>
      <c r="B481" s="4" t="s">
        <v>21</v>
      </c>
      <c r="C481" s="4">
        <v>201999</v>
      </c>
      <c r="D481" s="4">
        <v>20422435.5</v>
      </c>
      <c r="E481" s="3"/>
      <c r="F481" s="3"/>
      <c r="G481" s="3"/>
      <c r="J481" s="15" t="str">
        <f t="shared" si="7"/>
        <v>43969Москва Запад</v>
      </c>
    </row>
    <row r="482" spans="1:10" ht="14.25" customHeight="1" x14ac:dyDescent="0.25">
      <c r="A482" s="7">
        <v>43965</v>
      </c>
      <c r="B482" s="2" t="s">
        <v>21</v>
      </c>
      <c r="C482" s="2">
        <v>197946</v>
      </c>
      <c r="D482" s="2">
        <v>19942435.5</v>
      </c>
      <c r="E482" s="3"/>
      <c r="F482" s="3"/>
      <c r="G482" s="3"/>
      <c r="J482" s="15" t="str">
        <f t="shared" si="7"/>
        <v>43965Москва Запад</v>
      </c>
    </row>
    <row r="483" spans="1:10" ht="14.25" customHeight="1" x14ac:dyDescent="0.25">
      <c r="A483" s="8">
        <v>43966</v>
      </c>
      <c r="B483" s="4" t="s">
        <v>21</v>
      </c>
      <c r="C483" s="4">
        <v>230896.5</v>
      </c>
      <c r="D483" s="4">
        <v>23085222</v>
      </c>
      <c r="E483" s="3"/>
      <c r="F483" s="3"/>
      <c r="G483" s="3"/>
      <c r="J483" s="15" t="str">
        <f t="shared" si="7"/>
        <v>43966Москва Запад</v>
      </c>
    </row>
    <row r="484" spans="1:10" ht="14.25" customHeight="1" x14ac:dyDescent="0.25">
      <c r="A484" s="7">
        <v>43978</v>
      </c>
      <c r="B484" s="2" t="s">
        <v>22</v>
      </c>
      <c r="C484" s="2">
        <v>203532</v>
      </c>
      <c r="D484" s="2">
        <v>20953324.5</v>
      </c>
      <c r="E484" s="3"/>
      <c r="F484" s="3"/>
      <c r="G484" s="3"/>
      <c r="J484" s="15" t="str">
        <f t="shared" si="7"/>
        <v>43978Москва Восток</v>
      </c>
    </row>
    <row r="485" spans="1:10" ht="14.25" customHeight="1" x14ac:dyDescent="0.25">
      <c r="A485" s="8">
        <v>43973</v>
      </c>
      <c r="B485" s="4" t="s">
        <v>22</v>
      </c>
      <c r="C485" s="4">
        <v>214428</v>
      </c>
      <c r="D485" s="4">
        <v>20812585.5</v>
      </c>
      <c r="E485" s="3"/>
      <c r="F485" s="3"/>
      <c r="G485" s="3"/>
      <c r="J485" s="15" t="str">
        <f t="shared" si="7"/>
        <v>43973Москва Восток</v>
      </c>
    </row>
    <row r="486" spans="1:10" ht="14.25" customHeight="1" x14ac:dyDescent="0.25">
      <c r="A486" s="7">
        <v>43983</v>
      </c>
      <c r="B486" s="2" t="s">
        <v>22</v>
      </c>
      <c r="C486" s="2">
        <v>183228</v>
      </c>
      <c r="D486" s="2">
        <v>18914194.5</v>
      </c>
      <c r="E486" s="3"/>
      <c r="F486" s="3"/>
      <c r="G486" s="3"/>
      <c r="J486" s="15" t="str">
        <f t="shared" si="7"/>
        <v>43983Москва Восток</v>
      </c>
    </row>
    <row r="487" spans="1:10" ht="14.25" customHeight="1" x14ac:dyDescent="0.25">
      <c r="A487" s="8">
        <v>43962</v>
      </c>
      <c r="B487" s="4" t="s">
        <v>22</v>
      </c>
      <c r="C487" s="4">
        <v>166948.5</v>
      </c>
      <c r="D487" s="4">
        <v>16971231</v>
      </c>
      <c r="E487" s="3"/>
      <c r="F487" s="3"/>
      <c r="G487" s="3"/>
      <c r="J487" s="15" t="str">
        <f t="shared" si="7"/>
        <v>43962Москва Восток</v>
      </c>
    </row>
    <row r="488" spans="1:10" ht="14.25" customHeight="1" x14ac:dyDescent="0.25">
      <c r="A488" s="7">
        <v>43980</v>
      </c>
      <c r="B488" s="2" t="s">
        <v>21</v>
      </c>
      <c r="C488" s="2">
        <v>232102.5</v>
      </c>
      <c r="D488" s="2">
        <v>23120443.5</v>
      </c>
      <c r="E488" s="3"/>
      <c r="F488" s="3"/>
      <c r="G488" s="3"/>
      <c r="J488" s="15" t="str">
        <f t="shared" si="7"/>
        <v>43980Москва Запад</v>
      </c>
    </row>
    <row r="489" spans="1:10" ht="14.25" customHeight="1" x14ac:dyDescent="0.25">
      <c r="A489" s="8">
        <v>43969</v>
      </c>
      <c r="B489" s="4" t="s">
        <v>22</v>
      </c>
      <c r="C489" s="4">
        <v>196560</v>
      </c>
      <c r="D489" s="4">
        <v>19855122</v>
      </c>
      <c r="E489" s="3"/>
      <c r="F489" s="3"/>
      <c r="G489" s="3"/>
      <c r="J489" s="15" t="str">
        <f t="shared" si="7"/>
        <v>43969Москва Восток</v>
      </c>
    </row>
    <row r="490" spans="1:10" ht="14.25" customHeight="1" x14ac:dyDescent="0.25">
      <c r="A490" s="7">
        <v>43965</v>
      </c>
      <c r="B490" s="2" t="s">
        <v>22</v>
      </c>
      <c r="C490" s="2">
        <v>186496.5</v>
      </c>
      <c r="D490" s="2">
        <v>18640998</v>
      </c>
      <c r="E490" s="3"/>
      <c r="F490" s="3"/>
      <c r="G490" s="3"/>
      <c r="J490" s="15" t="str">
        <f t="shared" si="7"/>
        <v>43965Москва Восток</v>
      </c>
    </row>
    <row r="491" spans="1:10" ht="14.25" customHeight="1" x14ac:dyDescent="0.25">
      <c r="A491" s="8">
        <v>43966</v>
      </c>
      <c r="B491" s="4" t="s">
        <v>22</v>
      </c>
      <c r="C491" s="4">
        <v>219772.5</v>
      </c>
      <c r="D491" s="4">
        <v>21895294.5</v>
      </c>
      <c r="E491" s="3"/>
      <c r="F491" s="3"/>
      <c r="G491" s="3"/>
      <c r="J491" s="15" t="str">
        <f t="shared" si="7"/>
        <v>43966Москва Восток</v>
      </c>
    </row>
    <row r="492" spans="1:10" ht="14.25" customHeight="1" x14ac:dyDescent="0.25">
      <c r="A492" s="7">
        <v>43980</v>
      </c>
      <c r="B492" s="2" t="s">
        <v>22</v>
      </c>
      <c r="C492" s="2">
        <v>226476</v>
      </c>
      <c r="D492" s="2">
        <v>22416151.5</v>
      </c>
      <c r="E492" s="3"/>
      <c r="F492" s="3"/>
      <c r="G492" s="3"/>
      <c r="J492" s="15" t="str">
        <f t="shared" si="7"/>
        <v>43980Москва Восток</v>
      </c>
    </row>
    <row r="493" spans="1:10" ht="14.25" customHeight="1" x14ac:dyDescent="0.25">
      <c r="A493" s="8">
        <v>43978</v>
      </c>
      <c r="B493" s="4" t="s">
        <v>24</v>
      </c>
      <c r="C493" s="4">
        <v>8362.5</v>
      </c>
      <c r="D493" s="4">
        <v>687684</v>
      </c>
      <c r="E493" s="3"/>
      <c r="F493" s="3"/>
      <c r="G493" s="3"/>
      <c r="J493" s="15" t="str">
        <f t="shared" si="7"/>
        <v>43978Тюмень</v>
      </c>
    </row>
    <row r="494" spans="1:10" ht="14.25" customHeight="1" x14ac:dyDescent="0.25">
      <c r="A494" s="7">
        <v>43973</v>
      </c>
      <c r="B494" s="2" t="s">
        <v>23</v>
      </c>
      <c r="C494" s="2">
        <v>17008.5</v>
      </c>
      <c r="D494" s="2">
        <v>1398771</v>
      </c>
      <c r="E494" s="3"/>
      <c r="F494" s="3"/>
      <c r="G494" s="3"/>
      <c r="J494" s="15" t="str">
        <f t="shared" si="7"/>
        <v>43973Новосибирск</v>
      </c>
    </row>
    <row r="495" spans="1:10" ht="14.25" customHeight="1" x14ac:dyDescent="0.25">
      <c r="A495" s="8">
        <v>43983</v>
      </c>
      <c r="B495" s="4" t="s">
        <v>25</v>
      </c>
      <c r="C495" s="4">
        <v>5166</v>
      </c>
      <c r="D495" s="4">
        <v>389013</v>
      </c>
      <c r="E495" s="3"/>
      <c r="F495" s="3"/>
      <c r="G495" s="3"/>
      <c r="J495" s="15" t="str">
        <f t="shared" si="7"/>
        <v>43983Томск</v>
      </c>
    </row>
    <row r="496" spans="1:10" ht="14.25" customHeight="1" x14ac:dyDescent="0.25">
      <c r="A496" s="7">
        <v>43962</v>
      </c>
      <c r="B496" s="2" t="s">
        <v>23</v>
      </c>
      <c r="C496" s="2">
        <v>10941</v>
      </c>
      <c r="D496" s="2">
        <v>880356</v>
      </c>
      <c r="E496" s="3"/>
      <c r="F496" s="3"/>
      <c r="G496" s="3"/>
      <c r="J496" s="15" t="str">
        <f t="shared" si="7"/>
        <v>43962Новосибирск</v>
      </c>
    </row>
    <row r="497" spans="1:10" ht="14.25" customHeight="1" x14ac:dyDescent="0.25">
      <c r="A497" s="8">
        <v>43969</v>
      </c>
      <c r="B497" s="4" t="s">
        <v>23</v>
      </c>
      <c r="C497" s="4">
        <v>14497.5</v>
      </c>
      <c r="D497" s="4">
        <v>1230711</v>
      </c>
      <c r="E497" s="3"/>
      <c r="F497" s="3"/>
      <c r="G497" s="3"/>
      <c r="J497" s="15" t="str">
        <f t="shared" si="7"/>
        <v>43969Новосибирск</v>
      </c>
    </row>
    <row r="498" spans="1:10" ht="14.25" customHeight="1" x14ac:dyDescent="0.25">
      <c r="A498" s="7">
        <v>43965</v>
      </c>
      <c r="B498" s="2" t="s">
        <v>23</v>
      </c>
      <c r="C498" s="2">
        <v>13810.5</v>
      </c>
      <c r="D498" s="2">
        <v>1131676.5</v>
      </c>
      <c r="E498" s="3"/>
      <c r="F498" s="3"/>
      <c r="G498" s="3"/>
      <c r="J498" s="15" t="str">
        <f t="shared" si="7"/>
        <v>43965Новосибирск</v>
      </c>
    </row>
    <row r="499" spans="1:10" ht="14.25" customHeight="1" x14ac:dyDescent="0.25">
      <c r="A499" s="8">
        <v>43966</v>
      </c>
      <c r="B499" s="4" t="s">
        <v>23</v>
      </c>
      <c r="C499" s="4">
        <v>13752</v>
      </c>
      <c r="D499" s="4">
        <v>1091040</v>
      </c>
      <c r="E499" s="3"/>
      <c r="F499" s="3"/>
      <c r="G499" s="3"/>
      <c r="J499" s="15" t="str">
        <f t="shared" si="7"/>
        <v>43966Новосибирск</v>
      </c>
    </row>
    <row r="500" spans="1:10" ht="14.25" customHeight="1" x14ac:dyDescent="0.25">
      <c r="A500" s="7">
        <v>43978</v>
      </c>
      <c r="B500" s="2" t="s">
        <v>23</v>
      </c>
      <c r="C500" s="2">
        <v>15276</v>
      </c>
      <c r="D500" s="2">
        <v>1350199.5</v>
      </c>
      <c r="E500" s="3"/>
      <c r="F500" s="3"/>
      <c r="G500" s="3"/>
      <c r="J500" s="15" t="str">
        <f t="shared" si="7"/>
        <v>43978Новосибирск</v>
      </c>
    </row>
    <row r="501" spans="1:10" ht="14.25" customHeight="1" x14ac:dyDescent="0.25">
      <c r="A501" s="8">
        <v>43983</v>
      </c>
      <c r="B501" s="4" t="s">
        <v>26</v>
      </c>
      <c r="C501" s="4">
        <v>4408.5</v>
      </c>
      <c r="D501" s="4">
        <v>410892</v>
      </c>
      <c r="E501" s="3"/>
      <c r="F501" s="3"/>
      <c r="G501" s="3"/>
      <c r="J501" s="15" t="str">
        <f t="shared" si="7"/>
        <v>43983Уфа</v>
      </c>
    </row>
    <row r="502" spans="1:10" ht="14.25" customHeight="1" x14ac:dyDescent="0.25">
      <c r="A502" s="7">
        <v>43980</v>
      </c>
      <c r="B502" s="2" t="s">
        <v>24</v>
      </c>
      <c r="C502" s="2">
        <v>9927</v>
      </c>
      <c r="D502" s="2">
        <v>850840.5</v>
      </c>
      <c r="E502" s="3"/>
      <c r="F502" s="3"/>
      <c r="G502" s="3"/>
      <c r="J502" s="15" t="str">
        <f t="shared" si="7"/>
        <v>43980Тюмень</v>
      </c>
    </row>
    <row r="503" spans="1:10" ht="14.25" customHeight="1" x14ac:dyDescent="0.25">
      <c r="A503" s="8">
        <v>43983</v>
      </c>
      <c r="B503" s="4" t="s">
        <v>24</v>
      </c>
      <c r="C503" s="4">
        <v>9474</v>
      </c>
      <c r="D503" s="4">
        <v>802447.5</v>
      </c>
      <c r="E503" s="3"/>
      <c r="F503" s="3"/>
      <c r="G503" s="3"/>
      <c r="J503" s="15" t="str">
        <f t="shared" si="7"/>
        <v>43983Тюмень</v>
      </c>
    </row>
    <row r="504" spans="1:10" ht="14.25" customHeight="1" x14ac:dyDescent="0.25">
      <c r="A504" s="7">
        <v>43980</v>
      </c>
      <c r="B504" s="2" t="s">
        <v>23</v>
      </c>
      <c r="C504" s="2">
        <v>16878</v>
      </c>
      <c r="D504" s="2">
        <v>1438255.5</v>
      </c>
      <c r="E504" s="3"/>
      <c r="F504" s="3"/>
      <c r="G504" s="3"/>
      <c r="J504" s="15" t="str">
        <f t="shared" si="7"/>
        <v>43980Новосибирск</v>
      </c>
    </row>
    <row r="505" spans="1:10" ht="14.25" customHeight="1" x14ac:dyDescent="0.25">
      <c r="A505" s="9">
        <v>43983</v>
      </c>
      <c r="B505" s="5" t="s">
        <v>23</v>
      </c>
      <c r="C505" s="5">
        <v>14238</v>
      </c>
      <c r="D505" s="5">
        <v>1293219</v>
      </c>
      <c r="E505" s="3"/>
      <c r="F505" s="3"/>
      <c r="G505" s="3"/>
      <c r="J505" s="15" t="str">
        <f t="shared" si="7"/>
        <v>43983Новосибирск</v>
      </c>
    </row>
    <row r="506" spans="1:10" ht="14.25" customHeight="1" x14ac:dyDescent="0.25"/>
    <row r="507" spans="1:10" ht="14.25" customHeight="1" x14ac:dyDescent="0.25"/>
    <row r="508" spans="1:10" ht="14.25" customHeight="1" x14ac:dyDescent="0.25"/>
    <row r="509" spans="1:10" ht="14.25" customHeight="1" x14ac:dyDescent="0.25"/>
    <row r="510" spans="1:10" ht="14.25" customHeight="1" x14ac:dyDescent="0.25"/>
    <row r="511" spans="1:10" ht="14.25" customHeight="1" x14ac:dyDescent="0.25"/>
    <row r="512" spans="1:10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K27" sqref="K27"/>
    </sheetView>
  </sheetViews>
  <sheetFormatPr defaultColWidth="14.42578125" defaultRowHeight="15" customHeight="1" x14ac:dyDescent="0.25"/>
  <cols>
    <col min="1" max="1" width="10.42578125" customWidth="1"/>
    <col min="2" max="2" width="22.85546875" customWidth="1"/>
    <col min="3" max="3" width="22.7109375" customWidth="1"/>
    <col min="4" max="4" width="22.140625" customWidth="1"/>
    <col min="5" max="5" width="25.42578125" customWidth="1"/>
    <col min="6" max="26" width="8.7109375" customWidth="1"/>
  </cols>
  <sheetData>
    <row r="1" spans="1:5" ht="14.25" customHeight="1" x14ac:dyDescent="0.25">
      <c r="A1" s="11" t="s">
        <v>0</v>
      </c>
      <c r="B1" s="11" t="s">
        <v>1</v>
      </c>
      <c r="C1" s="11" t="s">
        <v>4</v>
      </c>
      <c r="D1" s="11" t="s">
        <v>5</v>
      </c>
      <c r="E1" s="11" t="s">
        <v>6</v>
      </c>
    </row>
    <row r="2" spans="1:5" ht="14.25" customHeight="1" x14ac:dyDescent="0.25">
      <c r="A2" s="6">
        <v>43949</v>
      </c>
      <c r="B2" s="3" t="s">
        <v>16</v>
      </c>
      <c r="C2" s="3">
        <v>36</v>
      </c>
      <c r="D2" s="3">
        <v>4923</v>
      </c>
      <c r="E2" s="3">
        <v>4560</v>
      </c>
    </row>
    <row r="3" spans="1:5" ht="14.25" customHeight="1" x14ac:dyDescent="0.25">
      <c r="A3" s="6">
        <v>43949</v>
      </c>
      <c r="B3" s="3" t="s">
        <v>11</v>
      </c>
      <c r="C3" s="3">
        <v>31</v>
      </c>
      <c r="D3" s="3">
        <v>5465</v>
      </c>
      <c r="E3" s="3">
        <v>5096</v>
      </c>
    </row>
    <row r="4" spans="1:5" ht="14.25" customHeight="1" x14ac:dyDescent="0.25">
      <c r="A4" s="6">
        <v>43949</v>
      </c>
      <c r="B4" s="3" t="s">
        <v>17</v>
      </c>
      <c r="C4" s="3">
        <v>19</v>
      </c>
      <c r="D4" s="3">
        <v>1846</v>
      </c>
      <c r="E4" s="3">
        <v>1681</v>
      </c>
    </row>
    <row r="5" spans="1:5" ht="14.25" customHeight="1" x14ac:dyDescent="0.25">
      <c r="A5" s="6">
        <v>43949</v>
      </c>
      <c r="B5" s="3" t="s">
        <v>10</v>
      </c>
      <c r="C5" s="3">
        <v>18</v>
      </c>
      <c r="D5" s="3">
        <v>1539</v>
      </c>
      <c r="E5" s="3">
        <v>1404</v>
      </c>
    </row>
    <row r="6" spans="1:5" ht="14.25" customHeight="1" x14ac:dyDescent="0.25">
      <c r="A6" s="6">
        <v>43949</v>
      </c>
      <c r="B6" s="3" t="s">
        <v>20</v>
      </c>
      <c r="C6" s="3">
        <v>18</v>
      </c>
      <c r="D6" s="3">
        <v>1505</v>
      </c>
      <c r="E6" s="3">
        <v>1368</v>
      </c>
    </row>
    <row r="7" spans="1:5" ht="14.25" customHeight="1" x14ac:dyDescent="0.25">
      <c r="A7" s="6">
        <v>43949</v>
      </c>
      <c r="B7" s="3" t="s">
        <v>22</v>
      </c>
      <c r="C7" s="3">
        <v>54</v>
      </c>
      <c r="D7" s="3">
        <v>12306</v>
      </c>
      <c r="E7" s="3">
        <v>11532</v>
      </c>
    </row>
    <row r="8" spans="1:5" ht="14.25" customHeight="1" x14ac:dyDescent="0.25">
      <c r="A8" s="6">
        <v>43949</v>
      </c>
      <c r="B8" s="3" t="s">
        <v>21</v>
      </c>
      <c r="C8" s="3">
        <v>59</v>
      </c>
      <c r="D8" s="3">
        <v>12943</v>
      </c>
      <c r="E8" s="3">
        <v>12072</v>
      </c>
    </row>
    <row r="9" spans="1:5" ht="14.25" customHeight="1" x14ac:dyDescent="0.25">
      <c r="A9" s="6">
        <v>43949</v>
      </c>
      <c r="B9" s="3" t="s">
        <v>13</v>
      </c>
      <c r="C9" s="3">
        <v>17</v>
      </c>
      <c r="D9" s="3">
        <v>1439</v>
      </c>
      <c r="E9" s="3">
        <v>1265</v>
      </c>
    </row>
    <row r="10" spans="1:5" ht="14.25" customHeight="1" x14ac:dyDescent="0.25">
      <c r="A10" s="6">
        <v>43949</v>
      </c>
      <c r="B10" s="3" t="s">
        <v>23</v>
      </c>
      <c r="C10" s="3">
        <v>15</v>
      </c>
      <c r="D10" s="3">
        <v>636</v>
      </c>
      <c r="E10" s="3">
        <v>547</v>
      </c>
    </row>
    <row r="11" spans="1:5" ht="14.25" customHeight="1" x14ac:dyDescent="0.25">
      <c r="A11" s="6">
        <v>43949</v>
      </c>
      <c r="B11" s="3" t="s">
        <v>18</v>
      </c>
      <c r="C11" s="3">
        <v>15</v>
      </c>
      <c r="D11" s="3">
        <v>780</v>
      </c>
      <c r="E11" s="3">
        <v>690</v>
      </c>
    </row>
    <row r="12" spans="1:5" ht="14.25" customHeight="1" x14ac:dyDescent="0.25">
      <c r="A12" s="6">
        <v>43949</v>
      </c>
      <c r="B12" s="3" t="s">
        <v>15</v>
      </c>
      <c r="C12" s="3">
        <v>125</v>
      </c>
      <c r="D12" s="3">
        <v>20914</v>
      </c>
      <c r="E12" s="3">
        <v>19479</v>
      </c>
    </row>
    <row r="13" spans="1:5" ht="14.25" customHeight="1" x14ac:dyDescent="0.25">
      <c r="A13" s="6">
        <v>43949</v>
      </c>
      <c r="B13" s="3" t="s">
        <v>14</v>
      </c>
      <c r="C13" s="3">
        <v>128</v>
      </c>
      <c r="D13" s="3">
        <v>16450</v>
      </c>
      <c r="E13" s="3">
        <v>15320</v>
      </c>
    </row>
    <row r="14" spans="1:5" ht="14.25" customHeight="1" x14ac:dyDescent="0.25">
      <c r="A14" s="6">
        <v>43949</v>
      </c>
      <c r="B14" s="3" t="s">
        <v>12</v>
      </c>
      <c r="C14" s="3">
        <v>10</v>
      </c>
      <c r="D14" s="3">
        <v>580</v>
      </c>
      <c r="E14" s="3">
        <v>506</v>
      </c>
    </row>
    <row r="15" spans="1:5" ht="14.25" customHeight="1" x14ac:dyDescent="0.25">
      <c r="A15" s="6">
        <v>43950</v>
      </c>
      <c r="B15" s="3" t="s">
        <v>16</v>
      </c>
      <c r="C15" s="3">
        <v>36</v>
      </c>
      <c r="D15" s="3">
        <v>4937</v>
      </c>
      <c r="E15" s="3">
        <v>4561</v>
      </c>
    </row>
    <row r="16" spans="1:5" ht="14.25" customHeight="1" x14ac:dyDescent="0.25">
      <c r="A16" s="6">
        <v>43950</v>
      </c>
      <c r="B16" s="3" t="s">
        <v>11</v>
      </c>
      <c r="C16" s="3">
        <v>31</v>
      </c>
      <c r="D16" s="3">
        <v>5378</v>
      </c>
      <c r="E16" s="3">
        <v>4985</v>
      </c>
    </row>
    <row r="17" spans="1:5" ht="14.25" customHeight="1" x14ac:dyDescent="0.25">
      <c r="A17" s="6">
        <v>43950</v>
      </c>
      <c r="B17" s="3" t="s">
        <v>17</v>
      </c>
      <c r="C17" s="3">
        <v>19</v>
      </c>
      <c r="D17" s="3">
        <v>1676</v>
      </c>
      <c r="E17" s="3">
        <v>1516</v>
      </c>
    </row>
    <row r="18" spans="1:5" ht="14.25" customHeight="1" x14ac:dyDescent="0.25">
      <c r="A18" s="6">
        <v>43950</v>
      </c>
      <c r="B18" s="3" t="s">
        <v>10</v>
      </c>
      <c r="C18" s="3">
        <v>18</v>
      </c>
      <c r="D18" s="3">
        <v>1684</v>
      </c>
      <c r="E18" s="3">
        <v>1528</v>
      </c>
    </row>
    <row r="19" spans="1:5" ht="14.25" customHeight="1" x14ac:dyDescent="0.25">
      <c r="A19" s="6">
        <v>43950</v>
      </c>
      <c r="B19" s="3" t="s">
        <v>20</v>
      </c>
      <c r="C19" s="3">
        <v>18</v>
      </c>
      <c r="D19" s="3">
        <v>1599</v>
      </c>
      <c r="E19" s="3">
        <v>1450</v>
      </c>
    </row>
    <row r="20" spans="1:5" ht="14.25" customHeight="1" x14ac:dyDescent="0.25">
      <c r="A20" s="6">
        <v>43950</v>
      </c>
      <c r="B20" s="3" t="s">
        <v>22</v>
      </c>
      <c r="C20" s="3">
        <v>54</v>
      </c>
      <c r="D20" s="3">
        <v>12747</v>
      </c>
      <c r="E20" s="3">
        <v>11884</v>
      </c>
    </row>
    <row r="21" spans="1:5" ht="14.25" customHeight="1" x14ac:dyDescent="0.25">
      <c r="A21" s="6">
        <v>43950</v>
      </c>
      <c r="B21" s="3" t="s">
        <v>21</v>
      </c>
      <c r="C21" s="3">
        <v>59</v>
      </c>
      <c r="D21" s="3">
        <v>13186</v>
      </c>
      <c r="E21" s="3">
        <v>12251</v>
      </c>
    </row>
    <row r="22" spans="1:5" ht="14.25" customHeight="1" x14ac:dyDescent="0.25">
      <c r="A22" s="6">
        <v>43950</v>
      </c>
      <c r="B22" s="3" t="s">
        <v>13</v>
      </c>
      <c r="C22" s="3">
        <v>18</v>
      </c>
      <c r="D22" s="3">
        <v>1534</v>
      </c>
      <c r="E22" s="3">
        <v>1369</v>
      </c>
    </row>
    <row r="23" spans="1:5" ht="14.25" customHeight="1" x14ac:dyDescent="0.25">
      <c r="A23" s="6">
        <v>43950</v>
      </c>
      <c r="B23" s="3" t="s">
        <v>23</v>
      </c>
      <c r="C23" s="3">
        <v>15</v>
      </c>
      <c r="D23" s="3">
        <v>659</v>
      </c>
      <c r="E23" s="3">
        <v>575</v>
      </c>
    </row>
    <row r="24" spans="1:5" ht="14.25" customHeight="1" x14ac:dyDescent="0.25">
      <c r="A24" s="6">
        <v>43950</v>
      </c>
      <c r="B24" s="3" t="s">
        <v>18</v>
      </c>
      <c r="C24" s="3">
        <v>15</v>
      </c>
      <c r="D24" s="3">
        <v>786</v>
      </c>
      <c r="E24" s="3">
        <v>695</v>
      </c>
    </row>
    <row r="25" spans="1:5" ht="14.25" customHeight="1" x14ac:dyDescent="0.25">
      <c r="A25" s="6">
        <v>43950</v>
      </c>
      <c r="B25" s="3" t="s">
        <v>15</v>
      </c>
      <c r="C25" s="3">
        <v>125</v>
      </c>
      <c r="D25" s="3">
        <v>21863</v>
      </c>
      <c r="E25" s="3">
        <v>20160</v>
      </c>
    </row>
    <row r="26" spans="1:5" ht="14.25" customHeight="1" x14ac:dyDescent="0.25">
      <c r="A26" s="6">
        <v>43950</v>
      </c>
      <c r="B26" s="3" t="s">
        <v>14</v>
      </c>
      <c r="C26" s="3">
        <v>128</v>
      </c>
      <c r="D26" s="3">
        <v>17368</v>
      </c>
      <c r="E26" s="3">
        <v>16077</v>
      </c>
    </row>
    <row r="27" spans="1:5" ht="14.25" customHeight="1" x14ac:dyDescent="0.25">
      <c r="A27" s="6">
        <v>43950</v>
      </c>
      <c r="B27" s="3" t="s">
        <v>12</v>
      </c>
      <c r="C27" s="3">
        <v>10</v>
      </c>
      <c r="D27" s="3">
        <v>502</v>
      </c>
      <c r="E27" s="3">
        <v>433</v>
      </c>
    </row>
    <row r="28" spans="1:5" ht="14.25" customHeight="1" x14ac:dyDescent="0.25">
      <c r="A28" s="6">
        <v>43951</v>
      </c>
      <c r="B28" s="3" t="s">
        <v>16</v>
      </c>
      <c r="C28" s="3">
        <v>36</v>
      </c>
      <c r="D28" s="3">
        <v>5143</v>
      </c>
      <c r="E28" s="3">
        <v>4715</v>
      </c>
    </row>
    <row r="29" spans="1:5" ht="14.25" customHeight="1" x14ac:dyDescent="0.25">
      <c r="A29" s="6">
        <v>43951</v>
      </c>
      <c r="B29" s="3" t="s">
        <v>11</v>
      </c>
      <c r="C29" s="3">
        <v>31</v>
      </c>
      <c r="D29" s="3">
        <v>5120</v>
      </c>
      <c r="E29" s="3">
        <v>4737</v>
      </c>
    </row>
    <row r="30" spans="1:5" ht="14.25" customHeight="1" x14ac:dyDescent="0.25">
      <c r="A30" s="6">
        <v>43951</v>
      </c>
      <c r="B30" s="3" t="s">
        <v>17</v>
      </c>
      <c r="C30" s="3">
        <v>20</v>
      </c>
      <c r="D30" s="3">
        <v>1756</v>
      </c>
      <c r="E30" s="3">
        <v>1586</v>
      </c>
    </row>
    <row r="31" spans="1:5" ht="14.25" customHeight="1" x14ac:dyDescent="0.25">
      <c r="A31" s="6">
        <v>43951</v>
      </c>
      <c r="B31" s="3" t="s">
        <v>10</v>
      </c>
      <c r="C31" s="3">
        <v>19</v>
      </c>
      <c r="D31" s="3">
        <v>1712</v>
      </c>
      <c r="E31" s="3">
        <v>1552</v>
      </c>
    </row>
    <row r="32" spans="1:5" ht="14.25" customHeight="1" x14ac:dyDescent="0.25">
      <c r="A32" s="6">
        <v>43951</v>
      </c>
      <c r="B32" s="3" t="s">
        <v>20</v>
      </c>
      <c r="C32" s="3">
        <v>19</v>
      </c>
      <c r="D32" s="3">
        <v>1662</v>
      </c>
      <c r="E32" s="3">
        <v>1506</v>
      </c>
    </row>
    <row r="33" spans="1:5" ht="14.25" customHeight="1" x14ac:dyDescent="0.25">
      <c r="A33" s="6">
        <v>43951</v>
      </c>
      <c r="B33" s="3" t="s">
        <v>22</v>
      </c>
      <c r="C33" s="3">
        <v>54</v>
      </c>
      <c r="D33" s="3">
        <v>12817</v>
      </c>
      <c r="E33" s="3">
        <v>11865</v>
      </c>
    </row>
    <row r="34" spans="1:5" ht="14.25" customHeight="1" x14ac:dyDescent="0.25">
      <c r="A34" s="6">
        <v>43951</v>
      </c>
      <c r="B34" s="3" t="s">
        <v>21</v>
      </c>
      <c r="C34" s="3">
        <v>59</v>
      </c>
      <c r="D34" s="3">
        <v>13251</v>
      </c>
      <c r="E34" s="3">
        <v>12255</v>
      </c>
    </row>
    <row r="35" spans="1:5" ht="14.25" customHeight="1" x14ac:dyDescent="0.25">
      <c r="A35" s="6">
        <v>43951</v>
      </c>
      <c r="B35" s="3" t="s">
        <v>13</v>
      </c>
      <c r="C35" s="3">
        <v>19</v>
      </c>
      <c r="D35" s="3">
        <v>1499</v>
      </c>
      <c r="E35" s="3">
        <v>1322</v>
      </c>
    </row>
    <row r="36" spans="1:5" ht="14.25" customHeight="1" x14ac:dyDescent="0.25">
      <c r="A36" s="6">
        <v>43951</v>
      </c>
      <c r="B36" s="3" t="s">
        <v>23</v>
      </c>
      <c r="C36" s="3">
        <v>15</v>
      </c>
      <c r="D36" s="3">
        <v>644</v>
      </c>
      <c r="E36" s="3">
        <v>550</v>
      </c>
    </row>
    <row r="37" spans="1:5" ht="14.25" customHeight="1" x14ac:dyDescent="0.25">
      <c r="A37" s="6">
        <v>43951</v>
      </c>
      <c r="B37" s="3" t="s">
        <v>18</v>
      </c>
      <c r="C37" s="3">
        <v>15</v>
      </c>
      <c r="D37" s="3">
        <v>791</v>
      </c>
      <c r="E37" s="3">
        <v>691</v>
      </c>
    </row>
    <row r="38" spans="1:5" ht="14.25" customHeight="1" x14ac:dyDescent="0.25">
      <c r="A38" s="6">
        <v>43951</v>
      </c>
      <c r="B38" s="3" t="s">
        <v>19</v>
      </c>
      <c r="C38" s="3">
        <v>15</v>
      </c>
      <c r="D38" s="3">
        <v>262</v>
      </c>
      <c r="E38" s="3">
        <v>195</v>
      </c>
    </row>
    <row r="39" spans="1:5" ht="14.25" customHeight="1" x14ac:dyDescent="0.25">
      <c r="A39" s="6">
        <v>43951</v>
      </c>
      <c r="B39" s="3" t="s">
        <v>15</v>
      </c>
      <c r="C39" s="3">
        <v>125</v>
      </c>
      <c r="D39" s="3">
        <v>22368</v>
      </c>
      <c r="E39" s="3">
        <v>20625</v>
      </c>
    </row>
    <row r="40" spans="1:5" ht="14.25" customHeight="1" x14ac:dyDescent="0.25">
      <c r="A40" s="6">
        <v>43951</v>
      </c>
      <c r="B40" s="3" t="s">
        <v>14</v>
      </c>
      <c r="C40" s="3">
        <v>129</v>
      </c>
      <c r="D40" s="3">
        <v>18042</v>
      </c>
      <c r="E40" s="3">
        <v>16631</v>
      </c>
    </row>
    <row r="41" spans="1:5" ht="14.25" customHeight="1" x14ac:dyDescent="0.25">
      <c r="A41" s="6">
        <v>43951</v>
      </c>
      <c r="B41" s="3" t="s">
        <v>12</v>
      </c>
      <c r="C41" s="3">
        <v>10</v>
      </c>
      <c r="D41" s="3">
        <v>448</v>
      </c>
      <c r="E41" s="3">
        <v>376</v>
      </c>
    </row>
    <row r="42" spans="1:5" ht="14.25" customHeight="1" x14ac:dyDescent="0.25">
      <c r="A42" s="6">
        <v>43952</v>
      </c>
      <c r="B42" s="3" t="s">
        <v>16</v>
      </c>
      <c r="C42" s="3">
        <v>36</v>
      </c>
      <c r="D42" s="3">
        <v>5457</v>
      </c>
      <c r="E42" s="3">
        <v>4916</v>
      </c>
    </row>
    <row r="43" spans="1:5" ht="14.25" customHeight="1" x14ac:dyDescent="0.25">
      <c r="A43" s="6">
        <v>43952</v>
      </c>
      <c r="B43" s="3" t="s">
        <v>11</v>
      </c>
      <c r="C43" s="3">
        <v>31</v>
      </c>
      <c r="D43" s="3">
        <v>6118</v>
      </c>
      <c r="E43" s="3">
        <v>5564</v>
      </c>
    </row>
    <row r="44" spans="1:5" ht="14.25" customHeight="1" x14ac:dyDescent="0.25">
      <c r="A44" s="6">
        <v>43952</v>
      </c>
      <c r="B44" s="3" t="s">
        <v>17</v>
      </c>
      <c r="C44" s="3">
        <v>20</v>
      </c>
      <c r="D44" s="3">
        <v>2468</v>
      </c>
      <c r="E44" s="3">
        <v>2221</v>
      </c>
    </row>
    <row r="45" spans="1:5" ht="14.25" customHeight="1" x14ac:dyDescent="0.25">
      <c r="A45" s="6">
        <v>43952</v>
      </c>
      <c r="B45" s="3" t="s">
        <v>10</v>
      </c>
      <c r="C45" s="3">
        <v>18</v>
      </c>
      <c r="D45" s="3">
        <v>1826</v>
      </c>
      <c r="E45" s="3">
        <v>1633</v>
      </c>
    </row>
    <row r="46" spans="1:5" ht="14.25" customHeight="1" x14ac:dyDescent="0.25">
      <c r="A46" s="6">
        <v>43952</v>
      </c>
      <c r="B46" s="3" t="s">
        <v>20</v>
      </c>
      <c r="C46" s="3">
        <v>19</v>
      </c>
      <c r="D46" s="3">
        <v>1987</v>
      </c>
      <c r="E46" s="3">
        <v>1791</v>
      </c>
    </row>
    <row r="47" spans="1:5" ht="14.25" customHeight="1" x14ac:dyDescent="0.25">
      <c r="A47" s="6">
        <v>43952</v>
      </c>
      <c r="B47" s="3" t="s">
        <v>22</v>
      </c>
      <c r="C47" s="3">
        <v>54</v>
      </c>
      <c r="D47" s="3">
        <v>14205</v>
      </c>
      <c r="E47" s="3">
        <v>13026</v>
      </c>
    </row>
    <row r="48" spans="1:5" ht="14.25" customHeight="1" x14ac:dyDescent="0.25">
      <c r="A48" s="6">
        <v>43952</v>
      </c>
      <c r="B48" s="3" t="s">
        <v>21</v>
      </c>
      <c r="C48" s="3">
        <v>59</v>
      </c>
      <c r="D48" s="3">
        <v>15222</v>
      </c>
      <c r="E48" s="3">
        <v>13873</v>
      </c>
    </row>
    <row r="49" spans="1:5" ht="14.25" customHeight="1" x14ac:dyDescent="0.25">
      <c r="A49" s="6">
        <v>43952</v>
      </c>
      <c r="B49" s="3" t="s">
        <v>13</v>
      </c>
      <c r="C49" s="3">
        <v>19</v>
      </c>
      <c r="D49" s="3">
        <v>1497</v>
      </c>
      <c r="E49" s="3">
        <v>1291</v>
      </c>
    </row>
    <row r="50" spans="1:5" ht="14.25" customHeight="1" x14ac:dyDescent="0.25">
      <c r="A50" s="6">
        <v>43952</v>
      </c>
      <c r="B50" s="3" t="s">
        <v>23</v>
      </c>
      <c r="C50" s="3">
        <v>15</v>
      </c>
      <c r="D50" s="3">
        <v>721</v>
      </c>
      <c r="E50" s="3">
        <v>625</v>
      </c>
    </row>
    <row r="51" spans="1:5" ht="14.25" customHeight="1" x14ac:dyDescent="0.25">
      <c r="A51" s="6">
        <v>43952</v>
      </c>
      <c r="B51" s="3" t="s">
        <v>18</v>
      </c>
      <c r="C51" s="3">
        <v>15</v>
      </c>
      <c r="D51" s="3">
        <v>996</v>
      </c>
      <c r="E51" s="3">
        <v>888</v>
      </c>
    </row>
    <row r="52" spans="1:5" ht="14.25" customHeight="1" x14ac:dyDescent="0.25">
      <c r="A52" s="6">
        <v>43952</v>
      </c>
      <c r="B52" s="3" t="s">
        <v>19</v>
      </c>
      <c r="C52" s="3">
        <v>15</v>
      </c>
      <c r="D52" s="3">
        <v>294</v>
      </c>
      <c r="E52" s="3">
        <v>225</v>
      </c>
    </row>
    <row r="53" spans="1:5" ht="14.25" customHeight="1" x14ac:dyDescent="0.25">
      <c r="A53" s="6">
        <v>43952</v>
      </c>
      <c r="B53" s="3" t="s">
        <v>15</v>
      </c>
      <c r="C53" s="3">
        <v>125</v>
      </c>
      <c r="D53" s="3">
        <v>20602</v>
      </c>
      <c r="E53" s="3">
        <v>18845</v>
      </c>
    </row>
    <row r="54" spans="1:5" ht="14.25" customHeight="1" x14ac:dyDescent="0.25">
      <c r="A54" s="6">
        <v>43952</v>
      </c>
      <c r="B54" s="3" t="s">
        <v>14</v>
      </c>
      <c r="C54" s="3">
        <v>129</v>
      </c>
      <c r="D54" s="3">
        <v>17002</v>
      </c>
      <c r="E54" s="3">
        <v>15570</v>
      </c>
    </row>
    <row r="55" spans="1:5" ht="14.25" customHeight="1" x14ac:dyDescent="0.25">
      <c r="A55" s="6">
        <v>43952</v>
      </c>
      <c r="B55" s="3" t="s">
        <v>12</v>
      </c>
      <c r="C55" s="3">
        <v>10</v>
      </c>
      <c r="D55" s="3">
        <v>554</v>
      </c>
      <c r="E55" s="3">
        <v>472</v>
      </c>
    </row>
    <row r="56" spans="1:5" ht="14.25" customHeight="1" x14ac:dyDescent="0.25">
      <c r="A56" s="6">
        <v>43953</v>
      </c>
      <c r="B56" s="3" t="s">
        <v>16</v>
      </c>
      <c r="C56" s="3">
        <v>36</v>
      </c>
      <c r="D56" s="3">
        <v>3442</v>
      </c>
      <c r="E56" s="3">
        <v>3147</v>
      </c>
    </row>
    <row r="57" spans="1:5" ht="14.25" customHeight="1" x14ac:dyDescent="0.25">
      <c r="A57" s="6">
        <v>43953</v>
      </c>
      <c r="B57" s="3" t="s">
        <v>11</v>
      </c>
      <c r="C57" s="3">
        <v>31</v>
      </c>
      <c r="D57" s="3">
        <v>4157</v>
      </c>
      <c r="E57" s="3">
        <v>3823</v>
      </c>
    </row>
    <row r="58" spans="1:5" ht="14.25" customHeight="1" x14ac:dyDescent="0.25">
      <c r="A58" s="6">
        <v>43953</v>
      </c>
      <c r="B58" s="3" t="s">
        <v>17</v>
      </c>
      <c r="C58" s="3">
        <v>20</v>
      </c>
      <c r="D58" s="3">
        <v>1613</v>
      </c>
      <c r="E58" s="3">
        <v>1457</v>
      </c>
    </row>
    <row r="59" spans="1:5" ht="14.25" customHeight="1" x14ac:dyDescent="0.25">
      <c r="A59" s="6">
        <v>43953</v>
      </c>
      <c r="B59" s="3" t="s">
        <v>10</v>
      </c>
      <c r="C59" s="3">
        <v>18</v>
      </c>
      <c r="D59" s="3">
        <v>1708</v>
      </c>
      <c r="E59" s="3">
        <v>1534</v>
      </c>
    </row>
    <row r="60" spans="1:5" ht="14.25" customHeight="1" x14ac:dyDescent="0.25">
      <c r="A60" s="6">
        <v>43953</v>
      </c>
      <c r="B60" s="3" t="s">
        <v>20</v>
      </c>
      <c r="C60" s="3">
        <v>19</v>
      </c>
      <c r="D60" s="3">
        <v>1206</v>
      </c>
      <c r="E60" s="3">
        <v>1080</v>
      </c>
    </row>
    <row r="61" spans="1:5" ht="14.25" customHeight="1" x14ac:dyDescent="0.25">
      <c r="A61" s="6">
        <v>43953</v>
      </c>
      <c r="B61" s="3" t="s">
        <v>22</v>
      </c>
      <c r="C61" s="3">
        <v>54</v>
      </c>
      <c r="D61" s="3">
        <v>11622</v>
      </c>
      <c r="E61" s="3">
        <v>10754</v>
      </c>
    </row>
    <row r="62" spans="1:5" ht="14.25" customHeight="1" x14ac:dyDescent="0.25">
      <c r="A62" s="6">
        <v>43953</v>
      </c>
      <c r="B62" s="3" t="s">
        <v>21</v>
      </c>
      <c r="C62" s="3">
        <v>59</v>
      </c>
      <c r="D62" s="3">
        <v>12429</v>
      </c>
      <c r="E62" s="3">
        <v>11477</v>
      </c>
    </row>
    <row r="63" spans="1:5" ht="14.25" customHeight="1" x14ac:dyDescent="0.25">
      <c r="A63" s="6">
        <v>43953</v>
      </c>
      <c r="B63" s="3" t="s">
        <v>13</v>
      </c>
      <c r="C63" s="3">
        <v>19</v>
      </c>
      <c r="D63" s="3">
        <v>1217</v>
      </c>
      <c r="E63" s="3">
        <v>1048</v>
      </c>
    </row>
    <row r="64" spans="1:5" ht="14.25" customHeight="1" x14ac:dyDescent="0.25">
      <c r="A64" s="6">
        <v>43953</v>
      </c>
      <c r="B64" s="3" t="s">
        <v>23</v>
      </c>
      <c r="C64" s="3">
        <v>15</v>
      </c>
      <c r="D64" s="3">
        <v>567</v>
      </c>
      <c r="E64" s="3">
        <v>493</v>
      </c>
    </row>
    <row r="65" spans="1:5" ht="14.25" customHeight="1" x14ac:dyDescent="0.25">
      <c r="A65" s="6">
        <v>43953</v>
      </c>
      <c r="B65" s="3" t="s">
        <v>18</v>
      </c>
      <c r="C65" s="3">
        <v>15</v>
      </c>
      <c r="D65" s="3">
        <v>751</v>
      </c>
      <c r="E65" s="3">
        <v>651</v>
      </c>
    </row>
    <row r="66" spans="1:5" ht="14.25" customHeight="1" x14ac:dyDescent="0.25">
      <c r="A66" s="6">
        <v>43953</v>
      </c>
      <c r="B66" s="3" t="s">
        <v>19</v>
      </c>
      <c r="C66" s="3">
        <v>15</v>
      </c>
      <c r="D66" s="3">
        <v>274</v>
      </c>
      <c r="E66" s="3">
        <v>203</v>
      </c>
    </row>
    <row r="67" spans="1:5" ht="14.25" customHeight="1" x14ac:dyDescent="0.25">
      <c r="A67" s="6">
        <v>43953</v>
      </c>
      <c r="B67" s="3" t="s">
        <v>15</v>
      </c>
      <c r="C67" s="3">
        <v>125</v>
      </c>
      <c r="D67" s="3">
        <v>16932</v>
      </c>
      <c r="E67" s="3">
        <v>15601</v>
      </c>
    </row>
    <row r="68" spans="1:5" ht="14.25" customHeight="1" x14ac:dyDescent="0.25">
      <c r="A68" s="6">
        <v>43953</v>
      </c>
      <c r="B68" s="3" t="s">
        <v>14</v>
      </c>
      <c r="C68" s="3">
        <v>129</v>
      </c>
      <c r="D68" s="3">
        <v>14009</v>
      </c>
      <c r="E68" s="3">
        <v>12920</v>
      </c>
    </row>
    <row r="69" spans="1:5" ht="14.25" customHeight="1" x14ac:dyDescent="0.25">
      <c r="A69" s="6">
        <v>43953</v>
      </c>
      <c r="B69" s="3" t="s">
        <v>12</v>
      </c>
      <c r="C69" s="3">
        <v>10</v>
      </c>
      <c r="D69" s="3">
        <v>416</v>
      </c>
      <c r="E69" s="3">
        <v>341</v>
      </c>
    </row>
    <row r="70" spans="1:5" ht="14.25" customHeight="1" x14ac:dyDescent="0.25">
      <c r="A70" s="6">
        <v>43954</v>
      </c>
      <c r="B70" s="3" t="s">
        <v>16</v>
      </c>
      <c r="C70" s="3">
        <v>36</v>
      </c>
      <c r="D70" s="3">
        <v>4751</v>
      </c>
      <c r="E70" s="3">
        <v>4370</v>
      </c>
    </row>
    <row r="71" spans="1:5" ht="14.25" customHeight="1" x14ac:dyDescent="0.25">
      <c r="A71" s="6">
        <v>43954</v>
      </c>
      <c r="B71" s="3" t="s">
        <v>11</v>
      </c>
      <c r="C71" s="3">
        <v>31</v>
      </c>
      <c r="D71" s="3">
        <v>5155</v>
      </c>
      <c r="E71" s="3">
        <v>4762</v>
      </c>
    </row>
    <row r="72" spans="1:5" ht="14.25" customHeight="1" x14ac:dyDescent="0.25">
      <c r="A72" s="6">
        <v>43954</v>
      </c>
      <c r="B72" s="3" t="s">
        <v>17</v>
      </c>
      <c r="C72" s="3">
        <v>20</v>
      </c>
      <c r="D72" s="3">
        <v>1716</v>
      </c>
      <c r="E72" s="3">
        <v>1561</v>
      </c>
    </row>
    <row r="73" spans="1:5" ht="14.25" customHeight="1" x14ac:dyDescent="0.25">
      <c r="A73" s="6">
        <v>43954</v>
      </c>
      <c r="B73" s="3" t="s">
        <v>10</v>
      </c>
      <c r="C73" s="3">
        <v>20</v>
      </c>
      <c r="D73" s="3">
        <v>1520</v>
      </c>
      <c r="E73" s="3">
        <v>1373</v>
      </c>
    </row>
    <row r="74" spans="1:5" ht="14.25" customHeight="1" x14ac:dyDescent="0.25">
      <c r="A74" s="6">
        <v>43954</v>
      </c>
      <c r="B74" s="3" t="s">
        <v>20</v>
      </c>
      <c r="C74" s="3">
        <v>19</v>
      </c>
      <c r="D74" s="3">
        <v>1314</v>
      </c>
      <c r="E74" s="3">
        <v>1192</v>
      </c>
    </row>
    <row r="75" spans="1:5" ht="14.25" customHeight="1" x14ac:dyDescent="0.25">
      <c r="A75" s="6">
        <v>43954</v>
      </c>
      <c r="B75" s="3" t="s">
        <v>22</v>
      </c>
      <c r="C75" s="3">
        <v>54</v>
      </c>
      <c r="D75" s="3">
        <v>14823</v>
      </c>
      <c r="E75" s="3">
        <v>13751</v>
      </c>
    </row>
    <row r="76" spans="1:5" ht="14.25" customHeight="1" x14ac:dyDescent="0.25">
      <c r="A76" s="6">
        <v>43954</v>
      </c>
      <c r="B76" s="3" t="s">
        <v>21</v>
      </c>
      <c r="C76" s="3">
        <v>59</v>
      </c>
      <c r="D76" s="3">
        <v>15277</v>
      </c>
      <c r="E76" s="3">
        <v>14163</v>
      </c>
    </row>
    <row r="77" spans="1:5" ht="14.25" customHeight="1" x14ac:dyDescent="0.25">
      <c r="A77" s="6">
        <v>43954</v>
      </c>
      <c r="B77" s="3" t="s">
        <v>13</v>
      </c>
      <c r="C77" s="3">
        <v>19</v>
      </c>
      <c r="D77" s="3">
        <v>1402</v>
      </c>
      <c r="E77" s="3">
        <v>1234</v>
      </c>
    </row>
    <row r="78" spans="1:5" ht="14.25" customHeight="1" x14ac:dyDescent="0.25">
      <c r="A78" s="6">
        <v>43954</v>
      </c>
      <c r="B78" s="3" t="s">
        <v>23</v>
      </c>
      <c r="C78" s="3">
        <v>15</v>
      </c>
      <c r="D78" s="3">
        <v>585</v>
      </c>
      <c r="E78" s="3">
        <v>502</v>
      </c>
    </row>
    <row r="79" spans="1:5" ht="14.25" customHeight="1" x14ac:dyDescent="0.25">
      <c r="A79" s="6">
        <v>43954</v>
      </c>
      <c r="B79" s="3" t="s">
        <v>18</v>
      </c>
      <c r="C79" s="3">
        <v>15</v>
      </c>
      <c r="D79" s="3">
        <v>784</v>
      </c>
      <c r="E79" s="3">
        <v>696</v>
      </c>
    </row>
    <row r="80" spans="1:5" ht="14.25" customHeight="1" x14ac:dyDescent="0.25">
      <c r="A80" s="6">
        <v>43954</v>
      </c>
      <c r="B80" s="3" t="s">
        <v>19</v>
      </c>
      <c r="C80" s="3">
        <v>15</v>
      </c>
      <c r="D80" s="3">
        <v>455</v>
      </c>
      <c r="E80" s="3">
        <v>384</v>
      </c>
    </row>
    <row r="81" spans="1:5" ht="14.25" customHeight="1" x14ac:dyDescent="0.25">
      <c r="A81" s="6">
        <v>43954</v>
      </c>
      <c r="B81" s="3" t="s">
        <v>15</v>
      </c>
      <c r="C81" s="3">
        <v>125</v>
      </c>
      <c r="D81" s="3">
        <v>18861</v>
      </c>
      <c r="E81" s="3">
        <v>17420</v>
      </c>
    </row>
    <row r="82" spans="1:5" ht="14.25" customHeight="1" x14ac:dyDescent="0.25">
      <c r="A82" s="6">
        <v>43954</v>
      </c>
      <c r="B82" s="3" t="s">
        <v>14</v>
      </c>
      <c r="C82" s="3">
        <v>129</v>
      </c>
      <c r="D82" s="3">
        <v>15778</v>
      </c>
      <c r="E82" s="3">
        <v>14624</v>
      </c>
    </row>
    <row r="83" spans="1:5" ht="14.25" customHeight="1" x14ac:dyDescent="0.25">
      <c r="A83" s="6">
        <v>43954</v>
      </c>
      <c r="B83" s="3" t="s">
        <v>12</v>
      </c>
      <c r="C83" s="3">
        <v>10</v>
      </c>
      <c r="D83" s="3">
        <v>402</v>
      </c>
      <c r="E83" s="3">
        <v>333</v>
      </c>
    </row>
    <row r="84" spans="1:5" ht="14.25" customHeight="1" x14ac:dyDescent="0.25">
      <c r="A84" s="6">
        <v>43955</v>
      </c>
      <c r="B84" s="3" t="s">
        <v>16</v>
      </c>
      <c r="C84" s="3">
        <v>36</v>
      </c>
      <c r="D84" s="3">
        <v>4508</v>
      </c>
      <c r="E84" s="3">
        <v>4149</v>
      </c>
    </row>
    <row r="85" spans="1:5" ht="14.25" customHeight="1" x14ac:dyDescent="0.25">
      <c r="A85" s="6">
        <v>43955</v>
      </c>
      <c r="B85" s="3" t="s">
        <v>11</v>
      </c>
      <c r="C85" s="3">
        <v>31</v>
      </c>
      <c r="D85" s="3">
        <v>4968</v>
      </c>
      <c r="E85" s="3">
        <v>4596</v>
      </c>
    </row>
    <row r="86" spans="1:5" ht="14.25" customHeight="1" x14ac:dyDescent="0.25">
      <c r="A86" s="6">
        <v>43955</v>
      </c>
      <c r="B86" s="3" t="s">
        <v>17</v>
      </c>
      <c r="C86" s="3">
        <v>20</v>
      </c>
      <c r="D86" s="3">
        <v>1804</v>
      </c>
      <c r="E86" s="3">
        <v>1638</v>
      </c>
    </row>
    <row r="87" spans="1:5" ht="14.25" customHeight="1" x14ac:dyDescent="0.25">
      <c r="A87" s="6">
        <v>43955</v>
      </c>
      <c r="B87" s="3" t="s">
        <v>10</v>
      </c>
      <c r="C87" s="3">
        <v>20</v>
      </c>
      <c r="D87" s="3">
        <v>1519</v>
      </c>
      <c r="E87" s="3">
        <v>1372</v>
      </c>
    </row>
    <row r="88" spans="1:5" ht="14.25" customHeight="1" x14ac:dyDescent="0.25">
      <c r="A88" s="6">
        <v>43955</v>
      </c>
      <c r="B88" s="3" t="s">
        <v>20</v>
      </c>
      <c r="C88" s="3">
        <v>19</v>
      </c>
      <c r="D88" s="3">
        <v>1479</v>
      </c>
      <c r="E88" s="3">
        <v>1346</v>
      </c>
    </row>
    <row r="89" spans="1:5" ht="14.25" customHeight="1" x14ac:dyDescent="0.25">
      <c r="A89" s="6">
        <v>43955</v>
      </c>
      <c r="B89" s="3" t="s">
        <v>22</v>
      </c>
      <c r="C89" s="3">
        <v>54</v>
      </c>
      <c r="D89" s="3">
        <v>13606</v>
      </c>
      <c r="E89" s="3">
        <v>12697</v>
      </c>
    </row>
    <row r="90" spans="1:5" ht="14.25" customHeight="1" x14ac:dyDescent="0.25">
      <c r="A90" s="6">
        <v>43955</v>
      </c>
      <c r="B90" s="3" t="s">
        <v>21</v>
      </c>
      <c r="C90" s="3">
        <v>59</v>
      </c>
      <c r="D90" s="3">
        <v>14423</v>
      </c>
      <c r="E90" s="3">
        <v>13432</v>
      </c>
    </row>
    <row r="91" spans="1:5" ht="14.25" customHeight="1" x14ac:dyDescent="0.25">
      <c r="A91" s="6">
        <v>43955</v>
      </c>
      <c r="B91" s="3" t="s">
        <v>13</v>
      </c>
      <c r="C91" s="3">
        <v>19</v>
      </c>
      <c r="D91" s="3">
        <v>1582</v>
      </c>
      <c r="E91" s="3">
        <v>1403</v>
      </c>
    </row>
    <row r="92" spans="1:5" ht="14.25" customHeight="1" x14ac:dyDescent="0.25">
      <c r="A92" s="6">
        <v>43955</v>
      </c>
      <c r="B92" s="3" t="s">
        <v>23</v>
      </c>
      <c r="C92" s="3">
        <v>15</v>
      </c>
      <c r="D92" s="3">
        <v>622</v>
      </c>
      <c r="E92" s="3">
        <v>538</v>
      </c>
    </row>
    <row r="93" spans="1:5" ht="14.25" customHeight="1" x14ac:dyDescent="0.25">
      <c r="A93" s="6">
        <v>43955</v>
      </c>
      <c r="B93" s="3" t="s">
        <v>18</v>
      </c>
      <c r="C93" s="3">
        <v>15</v>
      </c>
      <c r="D93" s="3">
        <v>750</v>
      </c>
      <c r="E93" s="3">
        <v>647</v>
      </c>
    </row>
    <row r="94" spans="1:5" ht="14.25" customHeight="1" x14ac:dyDescent="0.25">
      <c r="A94" s="6">
        <v>43955</v>
      </c>
      <c r="B94" s="3" t="s">
        <v>19</v>
      </c>
      <c r="C94" s="3">
        <v>15</v>
      </c>
      <c r="D94" s="3">
        <v>390</v>
      </c>
      <c r="E94" s="3">
        <v>315</v>
      </c>
    </row>
    <row r="95" spans="1:5" ht="14.25" customHeight="1" x14ac:dyDescent="0.25">
      <c r="A95" s="6">
        <v>43955</v>
      </c>
      <c r="B95" s="3" t="s">
        <v>15</v>
      </c>
      <c r="C95" s="3">
        <v>125</v>
      </c>
      <c r="D95" s="3">
        <v>20495</v>
      </c>
      <c r="E95" s="3">
        <v>18964</v>
      </c>
    </row>
    <row r="96" spans="1:5" ht="14.25" customHeight="1" x14ac:dyDescent="0.25">
      <c r="A96" s="6">
        <v>43955</v>
      </c>
      <c r="B96" s="3" t="s">
        <v>14</v>
      </c>
      <c r="C96" s="3">
        <v>129</v>
      </c>
      <c r="D96" s="3">
        <v>16525</v>
      </c>
      <c r="E96" s="3">
        <v>15310</v>
      </c>
    </row>
    <row r="97" spans="1:5" ht="14.25" customHeight="1" x14ac:dyDescent="0.25">
      <c r="A97" s="6">
        <v>43955</v>
      </c>
      <c r="B97" s="3" t="s">
        <v>12</v>
      </c>
      <c r="C97" s="3">
        <v>10</v>
      </c>
      <c r="D97" s="3">
        <v>462</v>
      </c>
      <c r="E97" s="3">
        <v>396</v>
      </c>
    </row>
    <row r="98" spans="1:5" ht="14.25" customHeight="1" x14ac:dyDescent="0.25">
      <c r="A98" s="6">
        <v>43956</v>
      </c>
      <c r="B98" s="3" t="s">
        <v>16</v>
      </c>
      <c r="C98" s="3">
        <v>36</v>
      </c>
      <c r="D98" s="3">
        <v>4575</v>
      </c>
      <c r="E98" s="3">
        <v>4206</v>
      </c>
    </row>
    <row r="99" spans="1:5" ht="14.25" customHeight="1" x14ac:dyDescent="0.25">
      <c r="A99" s="6">
        <v>43956</v>
      </c>
      <c r="B99" s="3" t="s">
        <v>11</v>
      </c>
      <c r="C99" s="3">
        <v>31</v>
      </c>
      <c r="D99" s="3">
        <v>5188</v>
      </c>
      <c r="E99" s="3">
        <v>4800</v>
      </c>
    </row>
    <row r="100" spans="1:5" ht="14.25" customHeight="1" x14ac:dyDescent="0.25">
      <c r="A100" s="6">
        <v>43956</v>
      </c>
      <c r="B100" s="3" t="s">
        <v>17</v>
      </c>
      <c r="C100" s="3">
        <v>20</v>
      </c>
      <c r="D100" s="3">
        <v>1757</v>
      </c>
      <c r="E100" s="3">
        <v>1596</v>
      </c>
    </row>
    <row r="101" spans="1:5" ht="14.25" customHeight="1" x14ac:dyDescent="0.25">
      <c r="A101" s="6">
        <v>43956</v>
      </c>
      <c r="B101" s="3" t="s">
        <v>10</v>
      </c>
      <c r="C101" s="3">
        <v>20</v>
      </c>
      <c r="D101" s="3">
        <v>1773</v>
      </c>
      <c r="E101" s="3">
        <v>1604</v>
      </c>
    </row>
    <row r="102" spans="1:5" ht="14.25" customHeight="1" x14ac:dyDescent="0.25">
      <c r="A102" s="6">
        <v>43956</v>
      </c>
      <c r="B102" s="3" t="s">
        <v>20</v>
      </c>
      <c r="C102" s="3">
        <v>19</v>
      </c>
      <c r="D102" s="3">
        <v>1622</v>
      </c>
      <c r="E102" s="3">
        <v>1482</v>
      </c>
    </row>
    <row r="103" spans="1:5" ht="14.25" customHeight="1" x14ac:dyDescent="0.25">
      <c r="A103" s="6">
        <v>43956</v>
      </c>
      <c r="B103" s="3" t="s">
        <v>22</v>
      </c>
      <c r="C103" s="3">
        <v>54</v>
      </c>
      <c r="D103" s="3">
        <v>12775</v>
      </c>
      <c r="E103" s="3">
        <v>11887</v>
      </c>
    </row>
    <row r="104" spans="1:5" ht="14.25" customHeight="1" x14ac:dyDescent="0.25">
      <c r="A104" s="6">
        <v>43956</v>
      </c>
      <c r="B104" s="3" t="s">
        <v>21</v>
      </c>
      <c r="C104" s="3">
        <v>59</v>
      </c>
      <c r="D104" s="3">
        <v>13469</v>
      </c>
      <c r="E104" s="3">
        <v>12486</v>
      </c>
    </row>
    <row r="105" spans="1:5" ht="14.25" customHeight="1" x14ac:dyDescent="0.25">
      <c r="A105" s="6">
        <v>43956</v>
      </c>
      <c r="B105" s="3" t="s">
        <v>13</v>
      </c>
      <c r="C105" s="3">
        <v>19</v>
      </c>
      <c r="D105" s="3">
        <v>1417</v>
      </c>
      <c r="E105" s="3">
        <v>1245</v>
      </c>
    </row>
    <row r="106" spans="1:5" ht="14.25" customHeight="1" x14ac:dyDescent="0.25">
      <c r="A106" s="6">
        <v>43956</v>
      </c>
      <c r="B106" s="3" t="s">
        <v>23</v>
      </c>
      <c r="C106" s="3">
        <v>15</v>
      </c>
      <c r="D106" s="3">
        <v>750</v>
      </c>
      <c r="E106" s="3">
        <v>658</v>
      </c>
    </row>
    <row r="107" spans="1:5" ht="14.25" customHeight="1" x14ac:dyDescent="0.25">
      <c r="A107" s="6">
        <v>43956</v>
      </c>
      <c r="B107" s="3" t="s">
        <v>18</v>
      </c>
      <c r="C107" s="3">
        <v>15</v>
      </c>
      <c r="D107" s="3">
        <v>922</v>
      </c>
      <c r="E107" s="3">
        <v>823</v>
      </c>
    </row>
    <row r="108" spans="1:5" ht="14.25" customHeight="1" x14ac:dyDescent="0.25">
      <c r="A108" s="6">
        <v>43956</v>
      </c>
      <c r="B108" s="3" t="s">
        <v>19</v>
      </c>
      <c r="C108" s="3">
        <v>15</v>
      </c>
      <c r="D108" s="3">
        <v>455</v>
      </c>
      <c r="E108" s="3">
        <v>381</v>
      </c>
    </row>
    <row r="109" spans="1:5" ht="14.25" customHeight="1" x14ac:dyDescent="0.25">
      <c r="A109" s="6">
        <v>43956</v>
      </c>
      <c r="B109" s="3" t="s">
        <v>15</v>
      </c>
      <c r="C109" s="3">
        <v>125</v>
      </c>
      <c r="D109" s="3">
        <v>18944</v>
      </c>
      <c r="E109" s="3">
        <v>17541</v>
      </c>
    </row>
    <row r="110" spans="1:5" ht="14.25" customHeight="1" x14ac:dyDescent="0.25">
      <c r="A110" s="6">
        <v>43956</v>
      </c>
      <c r="B110" s="3" t="s">
        <v>14</v>
      </c>
      <c r="C110" s="3">
        <v>129</v>
      </c>
      <c r="D110" s="3">
        <v>15665</v>
      </c>
      <c r="E110" s="3">
        <v>14501</v>
      </c>
    </row>
    <row r="111" spans="1:5" ht="14.25" customHeight="1" x14ac:dyDescent="0.25">
      <c r="A111" s="6">
        <v>43956</v>
      </c>
      <c r="B111" s="3" t="s">
        <v>12</v>
      </c>
      <c r="C111" s="3">
        <v>10</v>
      </c>
      <c r="D111" s="3">
        <v>511</v>
      </c>
      <c r="E111" s="3">
        <v>437</v>
      </c>
    </row>
    <row r="112" spans="1:5" ht="14.25" customHeight="1" x14ac:dyDescent="0.25">
      <c r="A112" s="6">
        <v>43957</v>
      </c>
      <c r="B112" s="3" t="s">
        <v>16</v>
      </c>
      <c r="C112" s="3">
        <v>36</v>
      </c>
      <c r="D112" s="3">
        <v>4384</v>
      </c>
      <c r="E112" s="3">
        <v>4025</v>
      </c>
    </row>
    <row r="113" spans="1:5" ht="14.25" customHeight="1" x14ac:dyDescent="0.25">
      <c r="A113" s="6">
        <v>43957</v>
      </c>
      <c r="B113" s="3" t="s">
        <v>11</v>
      </c>
      <c r="C113" s="3">
        <v>31</v>
      </c>
      <c r="D113" s="3">
        <v>4709</v>
      </c>
      <c r="E113" s="3">
        <v>4348</v>
      </c>
    </row>
    <row r="114" spans="1:5" ht="14.25" customHeight="1" x14ac:dyDescent="0.25">
      <c r="A114" s="6">
        <v>43957</v>
      </c>
      <c r="B114" s="3" t="s">
        <v>17</v>
      </c>
      <c r="C114" s="3">
        <v>20</v>
      </c>
      <c r="D114" s="3">
        <v>1747</v>
      </c>
      <c r="E114" s="3">
        <v>1570</v>
      </c>
    </row>
    <row r="115" spans="1:5" ht="14.25" customHeight="1" x14ac:dyDescent="0.25">
      <c r="A115" s="6">
        <v>43957</v>
      </c>
      <c r="B115" s="3" t="s">
        <v>10</v>
      </c>
      <c r="C115" s="3">
        <v>20</v>
      </c>
      <c r="D115" s="3">
        <v>1784</v>
      </c>
      <c r="E115" s="3">
        <v>1632</v>
      </c>
    </row>
    <row r="116" spans="1:5" ht="14.25" customHeight="1" x14ac:dyDescent="0.25">
      <c r="A116" s="6">
        <v>43957</v>
      </c>
      <c r="B116" s="3" t="s">
        <v>20</v>
      </c>
      <c r="C116" s="3">
        <v>19</v>
      </c>
      <c r="D116" s="3">
        <v>1509</v>
      </c>
      <c r="E116" s="3">
        <v>1374</v>
      </c>
    </row>
    <row r="117" spans="1:5" ht="14.25" customHeight="1" x14ac:dyDescent="0.25">
      <c r="A117" s="6">
        <v>43957</v>
      </c>
      <c r="B117" s="3" t="s">
        <v>22</v>
      </c>
      <c r="C117" s="3">
        <v>54</v>
      </c>
      <c r="D117" s="3">
        <v>13406</v>
      </c>
      <c r="E117" s="3">
        <v>12518</v>
      </c>
    </row>
    <row r="118" spans="1:5" ht="14.25" customHeight="1" x14ac:dyDescent="0.25">
      <c r="A118" s="6">
        <v>43957</v>
      </c>
      <c r="B118" s="3" t="s">
        <v>21</v>
      </c>
      <c r="C118" s="3">
        <v>59</v>
      </c>
      <c r="D118" s="3">
        <v>14103</v>
      </c>
      <c r="E118" s="3">
        <v>13118</v>
      </c>
    </row>
    <row r="119" spans="1:5" ht="14.25" customHeight="1" x14ac:dyDescent="0.25">
      <c r="A119" s="6">
        <v>43957</v>
      </c>
      <c r="B119" s="3" t="s">
        <v>13</v>
      </c>
      <c r="C119" s="3">
        <v>19</v>
      </c>
      <c r="D119" s="3">
        <v>1499</v>
      </c>
      <c r="E119" s="3">
        <v>1323</v>
      </c>
    </row>
    <row r="120" spans="1:5" ht="14.25" customHeight="1" x14ac:dyDescent="0.25">
      <c r="A120" s="6">
        <v>43957</v>
      </c>
      <c r="B120" s="3" t="s">
        <v>23</v>
      </c>
      <c r="C120" s="3">
        <v>15</v>
      </c>
      <c r="D120" s="3">
        <v>701</v>
      </c>
      <c r="E120" s="3">
        <v>611</v>
      </c>
    </row>
    <row r="121" spans="1:5" ht="14.25" customHeight="1" x14ac:dyDescent="0.25">
      <c r="A121" s="6">
        <v>43957</v>
      </c>
      <c r="B121" s="3" t="s">
        <v>18</v>
      </c>
      <c r="C121" s="3">
        <v>15</v>
      </c>
      <c r="D121" s="3">
        <v>839</v>
      </c>
      <c r="E121" s="3">
        <v>733</v>
      </c>
    </row>
    <row r="122" spans="1:5" ht="14.25" customHeight="1" x14ac:dyDescent="0.25">
      <c r="A122" s="6">
        <v>43957</v>
      </c>
      <c r="B122" s="3" t="s">
        <v>19</v>
      </c>
      <c r="C122" s="3">
        <v>15</v>
      </c>
      <c r="D122" s="3">
        <v>467</v>
      </c>
      <c r="E122" s="3">
        <v>389</v>
      </c>
    </row>
    <row r="123" spans="1:5" ht="14.25" customHeight="1" x14ac:dyDescent="0.25">
      <c r="A123" s="6">
        <v>43957</v>
      </c>
      <c r="B123" s="3" t="s">
        <v>15</v>
      </c>
      <c r="C123" s="3">
        <v>125</v>
      </c>
      <c r="D123" s="3">
        <v>20218</v>
      </c>
      <c r="E123" s="3">
        <v>18647</v>
      </c>
    </row>
    <row r="124" spans="1:5" ht="14.25" customHeight="1" x14ac:dyDescent="0.25">
      <c r="A124" s="6">
        <v>43957</v>
      </c>
      <c r="B124" s="3" t="s">
        <v>14</v>
      </c>
      <c r="C124" s="3">
        <v>129</v>
      </c>
      <c r="D124" s="3">
        <v>16376</v>
      </c>
      <c r="E124" s="3">
        <v>15197</v>
      </c>
    </row>
    <row r="125" spans="1:5" ht="14.25" customHeight="1" x14ac:dyDescent="0.25">
      <c r="A125" s="6">
        <v>43957</v>
      </c>
      <c r="B125" s="3" t="s">
        <v>12</v>
      </c>
      <c r="C125" s="3">
        <v>10</v>
      </c>
      <c r="D125" s="3">
        <v>465</v>
      </c>
      <c r="E125" s="3">
        <v>390</v>
      </c>
    </row>
    <row r="126" spans="1:5" ht="14.25" customHeight="1" x14ac:dyDescent="0.25">
      <c r="A126" s="6">
        <v>43958</v>
      </c>
      <c r="B126" s="3" t="s">
        <v>16</v>
      </c>
      <c r="C126" s="3">
        <v>36</v>
      </c>
      <c r="D126" s="3">
        <v>4826</v>
      </c>
      <c r="E126" s="3">
        <v>4426</v>
      </c>
    </row>
    <row r="127" spans="1:5" ht="14.25" customHeight="1" x14ac:dyDescent="0.25">
      <c r="A127" s="6">
        <v>43958</v>
      </c>
      <c r="B127" s="3" t="s">
        <v>11</v>
      </c>
      <c r="C127" s="3">
        <v>31</v>
      </c>
      <c r="D127" s="3">
        <v>4903</v>
      </c>
      <c r="E127" s="3">
        <v>4527</v>
      </c>
    </row>
    <row r="128" spans="1:5" ht="14.25" customHeight="1" x14ac:dyDescent="0.25">
      <c r="A128" s="6">
        <v>43958</v>
      </c>
      <c r="B128" s="3" t="s">
        <v>17</v>
      </c>
      <c r="C128" s="3">
        <v>21</v>
      </c>
      <c r="D128" s="3">
        <v>1879</v>
      </c>
      <c r="E128" s="3">
        <v>1695</v>
      </c>
    </row>
    <row r="129" spans="1:5" ht="14.25" customHeight="1" x14ac:dyDescent="0.25">
      <c r="A129" s="6">
        <v>43958</v>
      </c>
      <c r="B129" s="3" t="s">
        <v>10</v>
      </c>
      <c r="C129" s="3">
        <v>21</v>
      </c>
      <c r="D129" s="3">
        <v>1542</v>
      </c>
      <c r="E129" s="3">
        <v>1405</v>
      </c>
    </row>
    <row r="130" spans="1:5" ht="14.25" customHeight="1" x14ac:dyDescent="0.25">
      <c r="A130" s="6">
        <v>43958</v>
      </c>
      <c r="B130" s="3" t="s">
        <v>20</v>
      </c>
      <c r="C130" s="3">
        <v>19</v>
      </c>
      <c r="D130" s="3">
        <v>1580</v>
      </c>
      <c r="E130" s="3">
        <v>1435</v>
      </c>
    </row>
    <row r="131" spans="1:5" ht="14.25" customHeight="1" x14ac:dyDescent="0.25">
      <c r="A131" s="6">
        <v>43958</v>
      </c>
      <c r="B131" s="3" t="s">
        <v>22</v>
      </c>
      <c r="C131" s="3">
        <v>54</v>
      </c>
      <c r="D131" s="3">
        <v>12743</v>
      </c>
      <c r="E131" s="3">
        <v>11858</v>
      </c>
    </row>
    <row r="132" spans="1:5" ht="14.25" customHeight="1" x14ac:dyDescent="0.25">
      <c r="A132" s="6">
        <v>43958</v>
      </c>
      <c r="B132" s="3" t="s">
        <v>21</v>
      </c>
      <c r="C132" s="3">
        <v>59</v>
      </c>
      <c r="D132" s="3">
        <v>13495</v>
      </c>
      <c r="E132" s="3">
        <v>12517</v>
      </c>
    </row>
    <row r="133" spans="1:5" ht="14.25" customHeight="1" x14ac:dyDescent="0.25">
      <c r="A133" s="6">
        <v>43958</v>
      </c>
      <c r="B133" s="3" t="s">
        <v>13</v>
      </c>
      <c r="C133" s="3">
        <v>19</v>
      </c>
      <c r="D133" s="3">
        <v>1530</v>
      </c>
      <c r="E133" s="3">
        <v>1338</v>
      </c>
    </row>
    <row r="134" spans="1:5" ht="14.25" customHeight="1" x14ac:dyDescent="0.25">
      <c r="A134" s="6">
        <v>43958</v>
      </c>
      <c r="B134" s="3" t="s">
        <v>23</v>
      </c>
      <c r="C134" s="3">
        <v>15</v>
      </c>
      <c r="D134" s="3">
        <v>676</v>
      </c>
      <c r="E134" s="3">
        <v>591</v>
      </c>
    </row>
    <row r="135" spans="1:5" ht="14.25" customHeight="1" x14ac:dyDescent="0.25">
      <c r="A135" s="6">
        <v>43958</v>
      </c>
      <c r="B135" s="3" t="s">
        <v>18</v>
      </c>
      <c r="C135" s="3">
        <v>15</v>
      </c>
      <c r="D135" s="3">
        <v>805</v>
      </c>
      <c r="E135" s="3">
        <v>703</v>
      </c>
    </row>
    <row r="136" spans="1:5" ht="14.25" customHeight="1" x14ac:dyDescent="0.25">
      <c r="A136" s="6">
        <v>43958</v>
      </c>
      <c r="B136" s="3" t="s">
        <v>19</v>
      </c>
      <c r="C136" s="3">
        <v>15</v>
      </c>
      <c r="D136" s="3">
        <v>480</v>
      </c>
      <c r="E136" s="3">
        <v>398</v>
      </c>
    </row>
    <row r="137" spans="1:5" ht="14.25" customHeight="1" x14ac:dyDescent="0.25">
      <c r="A137" s="6">
        <v>43958</v>
      </c>
      <c r="B137" s="3" t="s">
        <v>15</v>
      </c>
      <c r="C137" s="3">
        <v>125</v>
      </c>
      <c r="D137" s="3">
        <v>18014</v>
      </c>
      <c r="E137" s="3">
        <v>16675</v>
      </c>
    </row>
    <row r="138" spans="1:5" ht="14.25" customHeight="1" x14ac:dyDescent="0.25">
      <c r="A138" s="6">
        <v>43958</v>
      </c>
      <c r="B138" s="3" t="s">
        <v>14</v>
      </c>
      <c r="C138" s="3">
        <v>129</v>
      </c>
      <c r="D138" s="3">
        <v>14582</v>
      </c>
      <c r="E138" s="3">
        <v>13512</v>
      </c>
    </row>
    <row r="139" spans="1:5" ht="14.25" customHeight="1" x14ac:dyDescent="0.25">
      <c r="A139" s="6">
        <v>43958</v>
      </c>
      <c r="B139" s="3" t="s">
        <v>12</v>
      </c>
      <c r="C139" s="3">
        <v>10</v>
      </c>
      <c r="D139" s="3">
        <v>563</v>
      </c>
      <c r="E139" s="3">
        <v>486</v>
      </c>
    </row>
    <row r="140" spans="1:5" ht="14.25" customHeight="1" x14ac:dyDescent="0.25">
      <c r="A140" s="6">
        <v>43959</v>
      </c>
      <c r="B140" s="3" t="s">
        <v>16</v>
      </c>
      <c r="C140" s="3">
        <v>36</v>
      </c>
      <c r="D140" s="3">
        <v>4199</v>
      </c>
      <c r="E140" s="3">
        <v>3867</v>
      </c>
    </row>
    <row r="141" spans="1:5" ht="14.25" customHeight="1" x14ac:dyDescent="0.25">
      <c r="A141" s="6">
        <v>43959</v>
      </c>
      <c r="B141" s="3" t="s">
        <v>11</v>
      </c>
      <c r="C141" s="3">
        <v>31</v>
      </c>
      <c r="D141" s="3">
        <v>4635</v>
      </c>
      <c r="E141" s="3">
        <v>4266</v>
      </c>
    </row>
    <row r="142" spans="1:5" ht="14.25" customHeight="1" x14ac:dyDescent="0.25">
      <c r="A142" s="6">
        <v>43959</v>
      </c>
      <c r="B142" s="3" t="s">
        <v>17</v>
      </c>
      <c r="C142" s="3">
        <v>21</v>
      </c>
      <c r="D142" s="3">
        <v>1957</v>
      </c>
      <c r="E142" s="3">
        <v>1755</v>
      </c>
    </row>
    <row r="143" spans="1:5" ht="14.25" customHeight="1" x14ac:dyDescent="0.25">
      <c r="A143" s="6">
        <v>43959</v>
      </c>
      <c r="B143" s="3" t="s">
        <v>10</v>
      </c>
      <c r="C143" s="3">
        <v>21</v>
      </c>
      <c r="D143" s="3">
        <v>1646</v>
      </c>
      <c r="E143" s="3">
        <v>1492</v>
      </c>
    </row>
    <row r="144" spans="1:5" ht="14.25" customHeight="1" x14ac:dyDescent="0.25">
      <c r="A144" s="6">
        <v>43959</v>
      </c>
      <c r="B144" s="3" t="s">
        <v>20</v>
      </c>
      <c r="C144" s="3">
        <v>19</v>
      </c>
      <c r="D144" s="3">
        <v>1520</v>
      </c>
      <c r="E144" s="3">
        <v>1380</v>
      </c>
    </row>
    <row r="145" spans="1:5" ht="14.25" customHeight="1" x14ac:dyDescent="0.25">
      <c r="A145" s="6">
        <v>43959</v>
      </c>
      <c r="B145" s="3" t="s">
        <v>22</v>
      </c>
      <c r="C145" s="3">
        <v>54</v>
      </c>
      <c r="D145" s="3">
        <v>13563</v>
      </c>
      <c r="E145" s="3">
        <v>12604</v>
      </c>
    </row>
    <row r="146" spans="1:5" ht="14.25" customHeight="1" x14ac:dyDescent="0.25">
      <c r="A146" s="6">
        <v>43959</v>
      </c>
      <c r="B146" s="3" t="s">
        <v>21</v>
      </c>
      <c r="C146" s="3">
        <v>59</v>
      </c>
      <c r="D146" s="3">
        <v>14098</v>
      </c>
      <c r="E146" s="3">
        <v>13106</v>
      </c>
    </row>
    <row r="147" spans="1:5" ht="14.25" customHeight="1" x14ac:dyDescent="0.25">
      <c r="A147" s="6">
        <v>43959</v>
      </c>
      <c r="B147" s="3" t="s">
        <v>13</v>
      </c>
      <c r="C147" s="3">
        <v>19</v>
      </c>
      <c r="D147" s="3">
        <v>1522</v>
      </c>
      <c r="E147" s="3">
        <v>1340</v>
      </c>
    </row>
    <row r="148" spans="1:5" ht="14.25" customHeight="1" x14ac:dyDescent="0.25">
      <c r="A148" s="6">
        <v>43959</v>
      </c>
      <c r="B148" s="3" t="s">
        <v>23</v>
      </c>
      <c r="C148" s="3">
        <v>15</v>
      </c>
      <c r="D148" s="3">
        <v>703</v>
      </c>
      <c r="E148" s="3">
        <v>609</v>
      </c>
    </row>
    <row r="149" spans="1:5" ht="14.25" customHeight="1" x14ac:dyDescent="0.25">
      <c r="A149" s="6">
        <v>43959</v>
      </c>
      <c r="B149" s="3" t="s">
        <v>18</v>
      </c>
      <c r="C149" s="3">
        <v>15</v>
      </c>
      <c r="D149" s="3">
        <v>879</v>
      </c>
      <c r="E149" s="3">
        <v>768</v>
      </c>
    </row>
    <row r="150" spans="1:5" ht="14.25" customHeight="1" x14ac:dyDescent="0.25">
      <c r="A150" s="6">
        <v>43959</v>
      </c>
      <c r="B150" s="3" t="s">
        <v>19</v>
      </c>
      <c r="C150" s="3">
        <v>15</v>
      </c>
      <c r="D150" s="3">
        <v>492</v>
      </c>
      <c r="E150" s="3">
        <v>412</v>
      </c>
    </row>
    <row r="151" spans="1:5" ht="14.25" customHeight="1" x14ac:dyDescent="0.25">
      <c r="A151" s="6">
        <v>43959</v>
      </c>
      <c r="B151" s="3" t="s">
        <v>15</v>
      </c>
      <c r="C151" s="3">
        <v>125</v>
      </c>
      <c r="D151" s="3">
        <v>24620</v>
      </c>
      <c r="E151" s="3">
        <v>22641</v>
      </c>
    </row>
    <row r="152" spans="1:5" ht="14.25" customHeight="1" x14ac:dyDescent="0.25">
      <c r="A152" s="6">
        <v>43959</v>
      </c>
      <c r="B152" s="3" t="s">
        <v>14</v>
      </c>
      <c r="C152" s="3">
        <v>129</v>
      </c>
      <c r="D152" s="3">
        <v>20452</v>
      </c>
      <c r="E152" s="3">
        <v>18857</v>
      </c>
    </row>
    <row r="153" spans="1:5" ht="14.25" customHeight="1" x14ac:dyDescent="0.25">
      <c r="A153" s="6">
        <v>43959</v>
      </c>
      <c r="B153" s="3" t="s">
        <v>12</v>
      </c>
      <c r="C153" s="3">
        <v>10</v>
      </c>
      <c r="D153" s="3">
        <v>638</v>
      </c>
      <c r="E153" s="3">
        <v>547</v>
      </c>
    </row>
    <row r="154" spans="1:5" ht="14.25" customHeight="1" x14ac:dyDescent="0.25">
      <c r="A154" s="6">
        <v>43960</v>
      </c>
      <c r="B154" s="3" t="s">
        <v>16</v>
      </c>
      <c r="C154" s="3">
        <v>36</v>
      </c>
      <c r="D154" s="3">
        <v>5413</v>
      </c>
      <c r="E154" s="3">
        <v>4959</v>
      </c>
    </row>
    <row r="155" spans="1:5" ht="14.25" customHeight="1" x14ac:dyDescent="0.25">
      <c r="A155" s="6">
        <v>43960</v>
      </c>
      <c r="B155" s="3" t="s">
        <v>11</v>
      </c>
      <c r="C155" s="3">
        <v>31</v>
      </c>
      <c r="D155" s="3">
        <v>4556</v>
      </c>
      <c r="E155" s="3">
        <v>4220</v>
      </c>
    </row>
    <row r="156" spans="1:5" ht="14.25" customHeight="1" x14ac:dyDescent="0.25">
      <c r="A156" s="6">
        <v>43960</v>
      </c>
      <c r="B156" s="3" t="s">
        <v>17</v>
      </c>
      <c r="C156" s="3">
        <v>21</v>
      </c>
      <c r="D156" s="3">
        <v>1891</v>
      </c>
      <c r="E156" s="3">
        <v>1709</v>
      </c>
    </row>
    <row r="157" spans="1:5" ht="14.25" customHeight="1" x14ac:dyDescent="0.25">
      <c r="A157" s="6">
        <v>43960</v>
      </c>
      <c r="B157" s="3" t="s">
        <v>10</v>
      </c>
      <c r="C157" s="3">
        <v>21</v>
      </c>
      <c r="D157" s="3">
        <v>1735</v>
      </c>
      <c r="E157" s="3">
        <v>1568</v>
      </c>
    </row>
    <row r="158" spans="1:5" ht="14.25" customHeight="1" x14ac:dyDescent="0.25">
      <c r="A158" s="6">
        <v>43960</v>
      </c>
      <c r="B158" s="3" t="s">
        <v>20</v>
      </c>
      <c r="C158" s="3">
        <v>19</v>
      </c>
      <c r="D158" s="3">
        <v>1542</v>
      </c>
      <c r="E158" s="3">
        <v>1412</v>
      </c>
    </row>
    <row r="159" spans="1:5" ht="14.25" customHeight="1" x14ac:dyDescent="0.25">
      <c r="A159" s="6">
        <v>43960</v>
      </c>
      <c r="B159" s="3" t="s">
        <v>22</v>
      </c>
      <c r="C159" s="3">
        <v>54</v>
      </c>
      <c r="D159" s="3">
        <v>11288</v>
      </c>
      <c r="E159" s="3">
        <v>10492</v>
      </c>
    </row>
    <row r="160" spans="1:5" ht="14.25" customHeight="1" x14ac:dyDescent="0.25">
      <c r="A160" s="6">
        <v>43960</v>
      </c>
      <c r="B160" s="3" t="s">
        <v>21</v>
      </c>
      <c r="C160" s="3">
        <v>59</v>
      </c>
      <c r="D160" s="3">
        <v>12016</v>
      </c>
      <c r="E160" s="3">
        <v>11137</v>
      </c>
    </row>
    <row r="161" spans="1:5" ht="14.25" customHeight="1" x14ac:dyDescent="0.25">
      <c r="A161" s="6">
        <v>43960</v>
      </c>
      <c r="B161" s="3" t="s">
        <v>13</v>
      </c>
      <c r="C161" s="3">
        <v>19</v>
      </c>
      <c r="D161" s="3">
        <v>1851</v>
      </c>
      <c r="E161" s="3">
        <v>1635</v>
      </c>
    </row>
    <row r="162" spans="1:5" ht="14.25" customHeight="1" x14ac:dyDescent="0.25">
      <c r="A162" s="6">
        <v>43960</v>
      </c>
      <c r="B162" s="3" t="s">
        <v>23</v>
      </c>
      <c r="C162" s="3">
        <v>15</v>
      </c>
      <c r="D162" s="3">
        <v>654</v>
      </c>
      <c r="E162" s="3">
        <v>570</v>
      </c>
    </row>
    <row r="163" spans="1:5" ht="14.25" customHeight="1" x14ac:dyDescent="0.25">
      <c r="A163" s="6">
        <v>43960</v>
      </c>
      <c r="B163" s="3" t="s">
        <v>18</v>
      </c>
      <c r="C163" s="3">
        <v>15</v>
      </c>
      <c r="D163" s="3">
        <v>849</v>
      </c>
      <c r="E163" s="3">
        <v>740</v>
      </c>
    </row>
    <row r="164" spans="1:5" ht="14.25" customHeight="1" x14ac:dyDescent="0.25">
      <c r="A164" s="6">
        <v>43960</v>
      </c>
      <c r="B164" s="3" t="s">
        <v>19</v>
      </c>
      <c r="C164" s="3">
        <v>15</v>
      </c>
      <c r="D164" s="3">
        <v>623</v>
      </c>
      <c r="E164" s="3">
        <v>535</v>
      </c>
    </row>
    <row r="165" spans="1:5" ht="14.25" customHeight="1" x14ac:dyDescent="0.25">
      <c r="A165" s="6">
        <v>43960</v>
      </c>
      <c r="B165" s="3" t="s">
        <v>15</v>
      </c>
      <c r="C165" s="3">
        <v>125</v>
      </c>
      <c r="D165" s="3">
        <v>20132</v>
      </c>
      <c r="E165" s="3">
        <v>18617</v>
      </c>
    </row>
    <row r="166" spans="1:5" ht="14.25" customHeight="1" x14ac:dyDescent="0.25">
      <c r="A166" s="6">
        <v>43960</v>
      </c>
      <c r="B166" s="3" t="s">
        <v>14</v>
      </c>
      <c r="C166" s="3">
        <v>129</v>
      </c>
      <c r="D166" s="3">
        <v>16420</v>
      </c>
      <c r="E166" s="3">
        <v>15169</v>
      </c>
    </row>
    <row r="167" spans="1:5" ht="14.25" customHeight="1" x14ac:dyDescent="0.25">
      <c r="A167" s="6">
        <v>43960</v>
      </c>
      <c r="B167" s="3" t="s">
        <v>12</v>
      </c>
      <c r="C167" s="3">
        <v>10</v>
      </c>
      <c r="D167" s="3">
        <v>644</v>
      </c>
      <c r="E167" s="3">
        <v>559</v>
      </c>
    </row>
    <row r="168" spans="1:5" ht="14.25" customHeight="1" x14ac:dyDescent="0.25">
      <c r="A168" s="6">
        <v>43961</v>
      </c>
      <c r="B168" s="3" t="s">
        <v>16</v>
      </c>
      <c r="C168" s="3">
        <v>36</v>
      </c>
      <c r="D168" s="3">
        <v>5746</v>
      </c>
      <c r="E168" s="3">
        <v>5277</v>
      </c>
    </row>
    <row r="169" spans="1:5" ht="14.25" customHeight="1" x14ac:dyDescent="0.25">
      <c r="A169" s="6">
        <v>43961</v>
      </c>
      <c r="B169" s="3" t="s">
        <v>11</v>
      </c>
      <c r="C169" s="3">
        <v>31</v>
      </c>
      <c r="D169" s="3">
        <v>5495</v>
      </c>
      <c r="E169" s="3">
        <v>5093</v>
      </c>
    </row>
    <row r="170" spans="1:5" ht="14.25" customHeight="1" x14ac:dyDescent="0.25">
      <c r="A170" s="6">
        <v>43961</v>
      </c>
      <c r="B170" s="3" t="s">
        <v>17</v>
      </c>
      <c r="C170" s="3">
        <v>21</v>
      </c>
      <c r="D170" s="3">
        <v>2120</v>
      </c>
      <c r="E170" s="3">
        <v>1921</v>
      </c>
    </row>
    <row r="171" spans="1:5" ht="14.25" customHeight="1" x14ac:dyDescent="0.25">
      <c r="A171" s="6">
        <v>43961</v>
      </c>
      <c r="B171" s="3" t="s">
        <v>10</v>
      </c>
      <c r="C171" s="3">
        <v>21</v>
      </c>
      <c r="D171" s="3">
        <v>2016</v>
      </c>
      <c r="E171" s="3">
        <v>1846</v>
      </c>
    </row>
    <row r="172" spans="1:5" ht="14.25" customHeight="1" x14ac:dyDescent="0.25">
      <c r="A172" s="6">
        <v>43961</v>
      </c>
      <c r="B172" s="3" t="s">
        <v>20</v>
      </c>
      <c r="C172" s="3">
        <v>19</v>
      </c>
      <c r="D172" s="3">
        <v>1836</v>
      </c>
      <c r="E172" s="3">
        <v>1680</v>
      </c>
    </row>
    <row r="173" spans="1:5" ht="14.25" customHeight="1" x14ac:dyDescent="0.25">
      <c r="A173" s="6">
        <v>43961</v>
      </c>
      <c r="B173" s="3" t="s">
        <v>22</v>
      </c>
      <c r="C173" s="3">
        <v>54</v>
      </c>
      <c r="D173" s="3">
        <v>13832</v>
      </c>
      <c r="E173" s="3">
        <v>12864</v>
      </c>
    </row>
    <row r="174" spans="1:5" ht="14.25" customHeight="1" x14ac:dyDescent="0.25">
      <c r="A174" s="6">
        <v>43961</v>
      </c>
      <c r="B174" s="3" t="s">
        <v>21</v>
      </c>
      <c r="C174" s="3">
        <v>59</v>
      </c>
      <c r="D174" s="3">
        <v>14569</v>
      </c>
      <c r="E174" s="3">
        <v>13566</v>
      </c>
    </row>
    <row r="175" spans="1:5" ht="14.25" customHeight="1" x14ac:dyDescent="0.25">
      <c r="A175" s="6">
        <v>43961</v>
      </c>
      <c r="B175" s="3" t="s">
        <v>13</v>
      </c>
      <c r="C175" s="3">
        <v>19</v>
      </c>
      <c r="D175" s="3">
        <v>1848</v>
      </c>
      <c r="E175" s="3">
        <v>1649</v>
      </c>
    </row>
    <row r="176" spans="1:5" ht="14.25" customHeight="1" x14ac:dyDescent="0.25">
      <c r="A176" s="6">
        <v>43961</v>
      </c>
      <c r="B176" s="3" t="s">
        <v>23</v>
      </c>
      <c r="C176" s="3">
        <v>15</v>
      </c>
      <c r="D176" s="3">
        <v>792</v>
      </c>
      <c r="E176" s="3">
        <v>695</v>
      </c>
    </row>
    <row r="177" spans="1:5" ht="14.25" customHeight="1" x14ac:dyDescent="0.25">
      <c r="A177" s="6">
        <v>43961</v>
      </c>
      <c r="B177" s="3" t="s">
        <v>18</v>
      </c>
      <c r="C177" s="3">
        <v>15</v>
      </c>
      <c r="D177" s="3">
        <v>950</v>
      </c>
      <c r="E177" s="3">
        <v>848</v>
      </c>
    </row>
    <row r="178" spans="1:5" ht="14.25" customHeight="1" x14ac:dyDescent="0.25">
      <c r="A178" s="6">
        <v>43961</v>
      </c>
      <c r="B178" s="3" t="s">
        <v>19</v>
      </c>
      <c r="C178" s="3">
        <v>15</v>
      </c>
      <c r="D178" s="3">
        <v>706</v>
      </c>
      <c r="E178" s="3">
        <v>608</v>
      </c>
    </row>
    <row r="179" spans="1:5" ht="14.25" customHeight="1" x14ac:dyDescent="0.25">
      <c r="A179" s="6">
        <v>43961</v>
      </c>
      <c r="B179" s="3" t="s">
        <v>15</v>
      </c>
      <c r="C179" s="3">
        <v>125</v>
      </c>
      <c r="D179" s="3">
        <v>20368</v>
      </c>
      <c r="E179" s="3">
        <v>18884</v>
      </c>
    </row>
    <row r="180" spans="1:5" ht="14.25" customHeight="1" x14ac:dyDescent="0.25">
      <c r="A180" s="6">
        <v>43961</v>
      </c>
      <c r="B180" s="3" t="s">
        <v>14</v>
      </c>
      <c r="C180" s="3">
        <v>129</v>
      </c>
      <c r="D180" s="3">
        <v>16437</v>
      </c>
      <c r="E180" s="3">
        <v>15285</v>
      </c>
    </row>
    <row r="181" spans="1:5" ht="14.25" customHeight="1" x14ac:dyDescent="0.25">
      <c r="A181" s="6">
        <v>43961</v>
      </c>
      <c r="B181" s="3" t="s">
        <v>12</v>
      </c>
      <c r="C181" s="3">
        <v>10</v>
      </c>
      <c r="D181" s="3">
        <v>642</v>
      </c>
      <c r="E181" s="3">
        <v>556</v>
      </c>
    </row>
    <row r="182" spans="1:5" ht="14.25" customHeight="1" x14ac:dyDescent="0.25">
      <c r="A182" s="6">
        <v>43962</v>
      </c>
      <c r="B182" s="3" t="s">
        <v>16</v>
      </c>
      <c r="C182" s="3">
        <v>36</v>
      </c>
      <c r="D182" s="3">
        <v>4150</v>
      </c>
      <c r="E182" s="3">
        <v>3838</v>
      </c>
    </row>
    <row r="183" spans="1:5" ht="14.25" customHeight="1" x14ac:dyDescent="0.25">
      <c r="A183" s="6">
        <v>43962</v>
      </c>
      <c r="B183" s="3" t="s">
        <v>11</v>
      </c>
      <c r="C183" s="3">
        <v>31</v>
      </c>
      <c r="D183" s="3">
        <v>4826</v>
      </c>
      <c r="E183" s="3">
        <v>4483</v>
      </c>
    </row>
    <row r="184" spans="1:5" ht="14.25" customHeight="1" x14ac:dyDescent="0.25">
      <c r="A184" s="6">
        <v>43962</v>
      </c>
      <c r="B184" s="3" t="s">
        <v>17</v>
      </c>
      <c r="C184" s="3">
        <v>21</v>
      </c>
      <c r="D184" s="3">
        <v>1916</v>
      </c>
      <c r="E184" s="3">
        <v>1733</v>
      </c>
    </row>
    <row r="185" spans="1:5" ht="14.25" customHeight="1" x14ac:dyDescent="0.25">
      <c r="A185" s="6">
        <v>43962</v>
      </c>
      <c r="B185" s="3" t="s">
        <v>10</v>
      </c>
      <c r="C185" s="3">
        <v>21</v>
      </c>
      <c r="D185" s="3">
        <v>1597</v>
      </c>
      <c r="E185" s="3">
        <v>1457</v>
      </c>
    </row>
    <row r="186" spans="1:5" ht="14.25" customHeight="1" x14ac:dyDescent="0.25">
      <c r="A186" s="6">
        <v>43962</v>
      </c>
      <c r="B186" s="3" t="s">
        <v>20</v>
      </c>
      <c r="C186" s="3">
        <v>19</v>
      </c>
      <c r="D186" s="3">
        <v>1527</v>
      </c>
      <c r="E186" s="3">
        <v>1389</v>
      </c>
    </row>
    <row r="187" spans="1:5" ht="14.25" customHeight="1" x14ac:dyDescent="0.25">
      <c r="A187" s="6">
        <v>43962</v>
      </c>
      <c r="B187" s="3" t="s">
        <v>22</v>
      </c>
      <c r="C187" s="3">
        <v>54</v>
      </c>
      <c r="D187" s="3">
        <v>10570</v>
      </c>
      <c r="E187" s="3">
        <v>9926</v>
      </c>
    </row>
    <row r="188" spans="1:5" ht="14.25" customHeight="1" x14ac:dyDescent="0.25">
      <c r="A188" s="6">
        <v>43962</v>
      </c>
      <c r="B188" s="3" t="s">
        <v>21</v>
      </c>
      <c r="C188" s="3">
        <v>60</v>
      </c>
      <c r="D188" s="3">
        <v>11100</v>
      </c>
      <c r="E188" s="3">
        <v>10407</v>
      </c>
    </row>
    <row r="189" spans="1:5" ht="14.25" customHeight="1" x14ac:dyDescent="0.25">
      <c r="A189" s="6">
        <v>43962</v>
      </c>
      <c r="B189" s="3" t="s">
        <v>13</v>
      </c>
      <c r="C189" s="3">
        <v>19</v>
      </c>
      <c r="D189" s="3">
        <v>2530</v>
      </c>
      <c r="E189" s="3">
        <v>2270</v>
      </c>
    </row>
    <row r="190" spans="1:5" ht="14.25" customHeight="1" x14ac:dyDescent="0.25">
      <c r="A190" s="6">
        <v>43962</v>
      </c>
      <c r="B190" s="3" t="s">
        <v>23</v>
      </c>
      <c r="C190" s="3">
        <v>15</v>
      </c>
      <c r="D190" s="3">
        <v>654</v>
      </c>
      <c r="E190" s="3">
        <v>564</v>
      </c>
    </row>
    <row r="191" spans="1:5" ht="14.25" customHeight="1" x14ac:dyDescent="0.25">
      <c r="A191" s="6">
        <v>43962</v>
      </c>
      <c r="B191" s="3" t="s">
        <v>18</v>
      </c>
      <c r="C191" s="3">
        <v>15</v>
      </c>
      <c r="D191" s="3">
        <v>812</v>
      </c>
      <c r="E191" s="3">
        <v>714</v>
      </c>
    </row>
    <row r="192" spans="1:5" ht="14.25" customHeight="1" x14ac:dyDescent="0.25">
      <c r="A192" s="6">
        <v>43962</v>
      </c>
      <c r="B192" s="3" t="s">
        <v>19</v>
      </c>
      <c r="C192" s="3">
        <v>15</v>
      </c>
      <c r="D192" s="3">
        <v>684</v>
      </c>
      <c r="E192" s="3">
        <v>585</v>
      </c>
    </row>
    <row r="193" spans="1:5" ht="14.25" customHeight="1" x14ac:dyDescent="0.25">
      <c r="A193" s="6">
        <v>43962</v>
      </c>
      <c r="B193" s="3" t="s">
        <v>15</v>
      </c>
      <c r="C193" s="3">
        <v>125</v>
      </c>
      <c r="D193" s="3">
        <v>18066</v>
      </c>
      <c r="E193" s="3">
        <v>16883</v>
      </c>
    </row>
    <row r="194" spans="1:5" ht="14.25" customHeight="1" x14ac:dyDescent="0.25">
      <c r="A194" s="6">
        <v>43962</v>
      </c>
      <c r="B194" s="3" t="s">
        <v>14</v>
      </c>
      <c r="C194" s="3">
        <v>129</v>
      </c>
      <c r="D194" s="3">
        <v>14043</v>
      </c>
      <c r="E194" s="3">
        <v>13167</v>
      </c>
    </row>
    <row r="195" spans="1:5" ht="14.25" customHeight="1" x14ac:dyDescent="0.25">
      <c r="A195" s="6">
        <v>43962</v>
      </c>
      <c r="B195" s="3" t="s">
        <v>12</v>
      </c>
      <c r="C195" s="3">
        <v>10</v>
      </c>
      <c r="D195" s="3">
        <v>494</v>
      </c>
      <c r="E195" s="3">
        <v>421</v>
      </c>
    </row>
    <row r="196" spans="1:5" ht="14.25" customHeight="1" x14ac:dyDescent="0.25">
      <c r="A196" s="6">
        <v>43963</v>
      </c>
      <c r="B196" s="3" t="s">
        <v>16</v>
      </c>
      <c r="C196" s="3">
        <v>36</v>
      </c>
      <c r="D196" s="3">
        <v>4418</v>
      </c>
      <c r="E196" s="3">
        <v>4088</v>
      </c>
    </row>
    <row r="197" spans="1:5" ht="14.25" customHeight="1" x14ac:dyDescent="0.25">
      <c r="A197" s="6">
        <v>43963</v>
      </c>
      <c r="B197" s="3" t="s">
        <v>11</v>
      </c>
      <c r="C197" s="3">
        <v>31</v>
      </c>
      <c r="D197" s="3">
        <v>4800</v>
      </c>
      <c r="E197" s="3">
        <v>4470</v>
      </c>
    </row>
    <row r="198" spans="1:5" ht="14.25" customHeight="1" x14ac:dyDescent="0.25">
      <c r="A198" s="6">
        <v>43963</v>
      </c>
      <c r="B198" s="3" t="s">
        <v>17</v>
      </c>
      <c r="C198" s="3">
        <v>21</v>
      </c>
      <c r="D198" s="3">
        <v>1926</v>
      </c>
      <c r="E198" s="3">
        <v>1745</v>
      </c>
    </row>
    <row r="199" spans="1:5" ht="14.25" customHeight="1" x14ac:dyDescent="0.25">
      <c r="A199" s="6">
        <v>43963</v>
      </c>
      <c r="B199" s="3" t="s">
        <v>10</v>
      </c>
      <c r="C199" s="3">
        <v>21</v>
      </c>
      <c r="D199" s="3">
        <v>1656</v>
      </c>
      <c r="E199" s="3">
        <v>1516</v>
      </c>
    </row>
    <row r="200" spans="1:5" ht="14.25" customHeight="1" x14ac:dyDescent="0.25">
      <c r="A200" s="6">
        <v>43963</v>
      </c>
      <c r="B200" s="3" t="s">
        <v>20</v>
      </c>
      <c r="C200" s="3">
        <v>19</v>
      </c>
      <c r="D200" s="3">
        <v>1598</v>
      </c>
      <c r="E200" s="3">
        <v>1454</v>
      </c>
    </row>
    <row r="201" spans="1:5" ht="14.25" customHeight="1" x14ac:dyDescent="0.25">
      <c r="A201" s="6">
        <v>43963</v>
      </c>
      <c r="B201" s="3" t="s">
        <v>22</v>
      </c>
      <c r="C201" s="3">
        <v>54</v>
      </c>
      <c r="D201" s="3">
        <v>11614</v>
      </c>
      <c r="E201" s="3">
        <v>10862</v>
      </c>
    </row>
    <row r="202" spans="1:5" ht="14.25" customHeight="1" x14ac:dyDescent="0.25">
      <c r="A202" s="6">
        <v>43963</v>
      </c>
      <c r="B202" s="3" t="s">
        <v>21</v>
      </c>
      <c r="C202" s="3">
        <v>60</v>
      </c>
      <c r="D202" s="3">
        <v>12000</v>
      </c>
      <c r="E202" s="3">
        <v>11194</v>
      </c>
    </row>
    <row r="203" spans="1:5" ht="14.25" customHeight="1" x14ac:dyDescent="0.25">
      <c r="A203" s="6">
        <v>43963</v>
      </c>
      <c r="B203" s="3" t="s">
        <v>13</v>
      </c>
      <c r="C203" s="3">
        <v>19</v>
      </c>
      <c r="D203" s="3">
        <v>1649</v>
      </c>
      <c r="E203" s="3">
        <v>1460</v>
      </c>
    </row>
    <row r="204" spans="1:5" ht="14.25" customHeight="1" x14ac:dyDescent="0.25">
      <c r="A204" s="6">
        <v>43963</v>
      </c>
      <c r="B204" s="3" t="s">
        <v>23</v>
      </c>
      <c r="C204" s="3">
        <v>15</v>
      </c>
      <c r="D204" s="3">
        <v>750</v>
      </c>
      <c r="E204" s="3">
        <v>659</v>
      </c>
    </row>
    <row r="205" spans="1:5" ht="14.25" customHeight="1" x14ac:dyDescent="0.25">
      <c r="A205" s="6">
        <v>43963</v>
      </c>
      <c r="B205" s="3" t="s">
        <v>18</v>
      </c>
      <c r="C205" s="3">
        <v>15</v>
      </c>
      <c r="D205" s="3">
        <v>845</v>
      </c>
      <c r="E205" s="3">
        <v>743</v>
      </c>
    </row>
    <row r="206" spans="1:5" ht="14.25" customHeight="1" x14ac:dyDescent="0.25">
      <c r="A206" s="6">
        <v>43963</v>
      </c>
      <c r="B206" s="3" t="s">
        <v>19</v>
      </c>
      <c r="C206" s="3">
        <v>15</v>
      </c>
      <c r="D206" s="3">
        <v>624</v>
      </c>
      <c r="E206" s="3">
        <v>538</v>
      </c>
    </row>
    <row r="207" spans="1:5" ht="14.25" customHeight="1" x14ac:dyDescent="0.25">
      <c r="A207" s="6">
        <v>43963</v>
      </c>
      <c r="B207" s="3" t="s">
        <v>15</v>
      </c>
      <c r="C207" s="3">
        <v>125</v>
      </c>
      <c r="D207" s="3">
        <v>21106</v>
      </c>
      <c r="E207" s="3">
        <v>19651</v>
      </c>
    </row>
    <row r="208" spans="1:5" ht="14.25" customHeight="1" x14ac:dyDescent="0.25">
      <c r="A208" s="6">
        <v>43963</v>
      </c>
      <c r="B208" s="3" t="s">
        <v>14</v>
      </c>
      <c r="C208" s="3">
        <v>129</v>
      </c>
      <c r="D208" s="3">
        <v>16387</v>
      </c>
      <c r="E208" s="3">
        <v>15322</v>
      </c>
    </row>
    <row r="209" spans="1:5" ht="14.25" customHeight="1" x14ac:dyDescent="0.25">
      <c r="A209" s="6">
        <v>43963</v>
      </c>
      <c r="B209" s="3" t="s">
        <v>12</v>
      </c>
      <c r="C209" s="3">
        <v>10</v>
      </c>
      <c r="D209" s="3">
        <v>526</v>
      </c>
      <c r="E209" s="3">
        <v>448</v>
      </c>
    </row>
    <row r="210" spans="1:5" ht="14.25" customHeight="1" x14ac:dyDescent="0.25">
      <c r="A210" s="6">
        <v>43964</v>
      </c>
      <c r="B210" s="3" t="s">
        <v>16</v>
      </c>
      <c r="C210" s="3">
        <v>36</v>
      </c>
      <c r="D210" s="3">
        <v>4967</v>
      </c>
      <c r="E210" s="3">
        <v>4583</v>
      </c>
    </row>
    <row r="211" spans="1:5" ht="14.25" customHeight="1" x14ac:dyDescent="0.25">
      <c r="A211" s="6">
        <v>43964</v>
      </c>
      <c r="B211" s="3" t="s">
        <v>11</v>
      </c>
      <c r="C211" s="3">
        <v>31</v>
      </c>
      <c r="D211" s="3">
        <v>5251</v>
      </c>
      <c r="E211" s="3">
        <v>4853</v>
      </c>
    </row>
    <row r="212" spans="1:5" ht="14.25" customHeight="1" x14ac:dyDescent="0.25">
      <c r="A212" s="6">
        <v>43964</v>
      </c>
      <c r="B212" s="3" t="s">
        <v>17</v>
      </c>
      <c r="C212" s="3">
        <v>21</v>
      </c>
      <c r="D212" s="3">
        <v>2061</v>
      </c>
      <c r="E212" s="3">
        <v>1876</v>
      </c>
    </row>
    <row r="213" spans="1:5" ht="14.25" customHeight="1" x14ac:dyDescent="0.25">
      <c r="A213" s="6">
        <v>43964</v>
      </c>
      <c r="B213" s="3" t="s">
        <v>10</v>
      </c>
      <c r="C213" s="3">
        <v>21</v>
      </c>
      <c r="D213" s="3">
        <v>1698</v>
      </c>
      <c r="E213" s="3">
        <v>1554</v>
      </c>
    </row>
    <row r="214" spans="1:5" ht="14.25" customHeight="1" x14ac:dyDescent="0.25">
      <c r="A214" s="6">
        <v>43964</v>
      </c>
      <c r="B214" s="3" t="s">
        <v>20</v>
      </c>
      <c r="C214" s="3">
        <v>19</v>
      </c>
      <c r="D214" s="3">
        <v>1605</v>
      </c>
      <c r="E214" s="3">
        <v>1447</v>
      </c>
    </row>
    <row r="215" spans="1:5" ht="14.25" customHeight="1" x14ac:dyDescent="0.25">
      <c r="A215" s="6">
        <v>43964</v>
      </c>
      <c r="B215" s="3" t="s">
        <v>22</v>
      </c>
      <c r="C215" s="3">
        <v>54</v>
      </c>
      <c r="D215" s="3">
        <v>11522</v>
      </c>
      <c r="E215" s="3">
        <v>10803</v>
      </c>
    </row>
    <row r="216" spans="1:5" ht="14.25" customHeight="1" x14ac:dyDescent="0.25">
      <c r="A216" s="6">
        <v>43964</v>
      </c>
      <c r="B216" s="3" t="s">
        <v>21</v>
      </c>
      <c r="C216" s="3">
        <v>60</v>
      </c>
      <c r="D216" s="3">
        <v>12007</v>
      </c>
      <c r="E216" s="3">
        <v>11245</v>
      </c>
    </row>
    <row r="217" spans="1:5" ht="14.25" customHeight="1" x14ac:dyDescent="0.25">
      <c r="A217" s="6">
        <v>43964</v>
      </c>
      <c r="B217" s="3" t="s">
        <v>13</v>
      </c>
      <c r="C217" s="3">
        <v>19</v>
      </c>
      <c r="D217" s="3">
        <v>1625</v>
      </c>
      <c r="E217" s="3">
        <v>1444</v>
      </c>
    </row>
    <row r="218" spans="1:5" ht="14.25" customHeight="1" x14ac:dyDescent="0.25">
      <c r="A218" s="6">
        <v>43964</v>
      </c>
      <c r="B218" s="3" t="s">
        <v>23</v>
      </c>
      <c r="C218" s="3">
        <v>15</v>
      </c>
      <c r="D218" s="3">
        <v>854</v>
      </c>
      <c r="E218" s="3">
        <v>756</v>
      </c>
    </row>
    <row r="219" spans="1:5" ht="14.25" customHeight="1" x14ac:dyDescent="0.25">
      <c r="A219" s="6">
        <v>43964</v>
      </c>
      <c r="B219" s="3" t="s">
        <v>18</v>
      </c>
      <c r="C219" s="3">
        <v>15</v>
      </c>
      <c r="D219" s="3">
        <v>898</v>
      </c>
      <c r="E219" s="3">
        <v>795</v>
      </c>
    </row>
    <row r="220" spans="1:5" ht="14.25" customHeight="1" x14ac:dyDescent="0.25">
      <c r="A220" s="6">
        <v>43964</v>
      </c>
      <c r="B220" s="3" t="s">
        <v>19</v>
      </c>
      <c r="C220" s="3">
        <v>15</v>
      </c>
      <c r="D220" s="3">
        <v>599</v>
      </c>
      <c r="E220" s="3">
        <v>515</v>
      </c>
    </row>
    <row r="221" spans="1:5" ht="14.25" customHeight="1" x14ac:dyDescent="0.25">
      <c r="A221" s="6">
        <v>43964</v>
      </c>
      <c r="B221" s="3" t="s">
        <v>15</v>
      </c>
      <c r="C221" s="3">
        <v>125</v>
      </c>
      <c r="D221" s="3">
        <v>19965</v>
      </c>
      <c r="E221" s="3">
        <v>18573</v>
      </c>
    </row>
    <row r="222" spans="1:5" ht="14.25" customHeight="1" x14ac:dyDescent="0.25">
      <c r="A222" s="6">
        <v>43964</v>
      </c>
      <c r="B222" s="3" t="s">
        <v>14</v>
      </c>
      <c r="C222" s="3">
        <v>129</v>
      </c>
      <c r="D222" s="3">
        <v>15304</v>
      </c>
      <c r="E222" s="3">
        <v>14315</v>
      </c>
    </row>
    <row r="223" spans="1:5" ht="14.25" customHeight="1" x14ac:dyDescent="0.25">
      <c r="A223" s="6">
        <v>43964</v>
      </c>
      <c r="B223" s="3" t="s">
        <v>12</v>
      </c>
      <c r="C223" s="3">
        <v>10</v>
      </c>
      <c r="D223" s="3">
        <v>612</v>
      </c>
      <c r="E223" s="3">
        <v>530</v>
      </c>
    </row>
    <row r="224" spans="1:5" ht="14.25" customHeight="1" x14ac:dyDescent="0.25">
      <c r="A224" s="6">
        <v>43965</v>
      </c>
      <c r="B224" s="3" t="s">
        <v>16</v>
      </c>
      <c r="C224" s="3">
        <v>36</v>
      </c>
      <c r="D224" s="3">
        <v>4285</v>
      </c>
      <c r="E224" s="3">
        <v>3950</v>
      </c>
    </row>
    <row r="225" spans="1:5" ht="14.25" customHeight="1" x14ac:dyDescent="0.25">
      <c r="A225" s="6">
        <v>43965</v>
      </c>
      <c r="B225" s="3" t="s">
        <v>11</v>
      </c>
      <c r="C225" s="3">
        <v>31</v>
      </c>
      <c r="D225" s="3">
        <v>4695</v>
      </c>
      <c r="E225" s="3">
        <v>4372</v>
      </c>
    </row>
    <row r="226" spans="1:5" ht="14.25" customHeight="1" x14ac:dyDescent="0.25">
      <c r="A226" s="6">
        <v>43965</v>
      </c>
      <c r="B226" s="3" t="s">
        <v>17</v>
      </c>
      <c r="C226" s="3">
        <v>21</v>
      </c>
      <c r="D226" s="3">
        <v>1993</v>
      </c>
      <c r="E226" s="3">
        <v>1796</v>
      </c>
    </row>
    <row r="227" spans="1:5" ht="14.25" customHeight="1" x14ac:dyDescent="0.25">
      <c r="A227" s="6">
        <v>43965</v>
      </c>
      <c r="B227" s="3" t="s">
        <v>10</v>
      </c>
      <c r="C227" s="3">
        <v>21</v>
      </c>
      <c r="D227" s="3">
        <v>1706</v>
      </c>
      <c r="E227" s="3">
        <v>1548</v>
      </c>
    </row>
    <row r="228" spans="1:5" ht="14.25" customHeight="1" x14ac:dyDescent="0.25">
      <c r="A228" s="6">
        <v>43965</v>
      </c>
      <c r="B228" s="3" t="s">
        <v>20</v>
      </c>
      <c r="C228" s="3">
        <v>19</v>
      </c>
      <c r="D228" s="3">
        <v>1635</v>
      </c>
      <c r="E228" s="3">
        <v>1487</v>
      </c>
    </row>
    <row r="229" spans="1:5" ht="14.25" customHeight="1" x14ac:dyDescent="0.25">
      <c r="A229" s="6">
        <v>43965</v>
      </c>
      <c r="B229" s="3" t="s">
        <v>22</v>
      </c>
      <c r="C229" s="3">
        <v>54</v>
      </c>
      <c r="D229" s="3">
        <v>11194</v>
      </c>
      <c r="E229" s="3">
        <v>10554</v>
      </c>
    </row>
    <row r="230" spans="1:5" ht="14.25" customHeight="1" x14ac:dyDescent="0.25">
      <c r="A230" s="6">
        <v>43965</v>
      </c>
      <c r="B230" s="3" t="s">
        <v>21</v>
      </c>
      <c r="C230" s="3">
        <v>60</v>
      </c>
      <c r="D230" s="3">
        <v>11935</v>
      </c>
      <c r="E230" s="3">
        <v>11178</v>
      </c>
    </row>
    <row r="231" spans="1:5" ht="14.25" customHeight="1" x14ac:dyDescent="0.25">
      <c r="A231" s="6">
        <v>43965</v>
      </c>
      <c r="B231" s="3" t="s">
        <v>13</v>
      </c>
      <c r="C231" s="3">
        <v>19</v>
      </c>
      <c r="D231" s="3">
        <v>1675</v>
      </c>
      <c r="E231" s="3">
        <v>1475</v>
      </c>
    </row>
    <row r="232" spans="1:5" ht="14.25" customHeight="1" x14ac:dyDescent="0.25">
      <c r="A232" s="6">
        <v>43965</v>
      </c>
      <c r="B232" s="3" t="s">
        <v>23</v>
      </c>
      <c r="C232" s="3">
        <v>16</v>
      </c>
      <c r="D232" s="3">
        <v>834</v>
      </c>
      <c r="E232" s="3">
        <v>735</v>
      </c>
    </row>
    <row r="233" spans="1:5" ht="14.25" customHeight="1" x14ac:dyDescent="0.25">
      <c r="A233" s="6">
        <v>43965</v>
      </c>
      <c r="B233" s="3" t="s">
        <v>18</v>
      </c>
      <c r="C233" s="3">
        <v>15</v>
      </c>
      <c r="D233" s="3">
        <v>890</v>
      </c>
      <c r="E233" s="3">
        <v>777</v>
      </c>
    </row>
    <row r="234" spans="1:5" ht="14.25" customHeight="1" x14ac:dyDescent="0.25">
      <c r="A234" s="6">
        <v>43965</v>
      </c>
      <c r="B234" s="3" t="s">
        <v>19</v>
      </c>
      <c r="C234" s="3">
        <v>15</v>
      </c>
      <c r="D234" s="3">
        <v>638</v>
      </c>
      <c r="E234" s="3">
        <v>548</v>
      </c>
    </row>
    <row r="235" spans="1:5" ht="14.25" customHeight="1" x14ac:dyDescent="0.25">
      <c r="A235" s="6">
        <v>43965</v>
      </c>
      <c r="B235" s="3" t="s">
        <v>15</v>
      </c>
      <c r="C235" s="3">
        <v>125</v>
      </c>
      <c r="D235" s="3">
        <v>20247</v>
      </c>
      <c r="E235" s="3">
        <v>18812</v>
      </c>
    </row>
    <row r="236" spans="1:5" ht="14.25" customHeight="1" x14ac:dyDescent="0.25">
      <c r="A236" s="6">
        <v>43965</v>
      </c>
      <c r="B236" s="3" t="s">
        <v>14</v>
      </c>
      <c r="C236" s="3">
        <v>129</v>
      </c>
      <c r="D236" s="3">
        <v>15804</v>
      </c>
      <c r="E236" s="3">
        <v>14738</v>
      </c>
    </row>
    <row r="237" spans="1:5" ht="14.25" customHeight="1" x14ac:dyDescent="0.25">
      <c r="A237" s="6">
        <v>43965</v>
      </c>
      <c r="B237" s="3" t="s">
        <v>12</v>
      </c>
      <c r="C237" s="3">
        <v>10</v>
      </c>
      <c r="D237" s="3">
        <v>627</v>
      </c>
      <c r="E237" s="3">
        <v>545</v>
      </c>
    </row>
    <row r="238" spans="1:5" ht="14.25" customHeight="1" x14ac:dyDescent="0.25">
      <c r="A238" s="6">
        <v>43966</v>
      </c>
      <c r="B238" s="3" t="s">
        <v>16</v>
      </c>
      <c r="C238" s="3">
        <v>36</v>
      </c>
      <c r="D238" s="3">
        <v>4862</v>
      </c>
      <c r="E238" s="3">
        <v>4476</v>
      </c>
    </row>
    <row r="239" spans="1:5" ht="14.25" customHeight="1" x14ac:dyDescent="0.25">
      <c r="A239" s="6">
        <v>43966</v>
      </c>
      <c r="B239" s="3" t="s">
        <v>11</v>
      </c>
      <c r="C239" s="3">
        <v>31</v>
      </c>
      <c r="D239" s="3">
        <v>5184</v>
      </c>
      <c r="E239" s="3">
        <v>4778</v>
      </c>
    </row>
    <row r="240" spans="1:5" ht="14.25" customHeight="1" x14ac:dyDescent="0.25">
      <c r="A240" s="6">
        <v>43966</v>
      </c>
      <c r="B240" s="3" t="s">
        <v>17</v>
      </c>
      <c r="C240" s="3">
        <v>21</v>
      </c>
      <c r="D240" s="3">
        <v>2255</v>
      </c>
      <c r="E240" s="3">
        <v>2045</v>
      </c>
    </row>
    <row r="241" spans="1:5" ht="14.25" customHeight="1" x14ac:dyDescent="0.25">
      <c r="A241" s="6">
        <v>43966</v>
      </c>
      <c r="B241" s="3" t="s">
        <v>10</v>
      </c>
      <c r="C241" s="3">
        <v>21</v>
      </c>
      <c r="D241" s="3">
        <v>1926</v>
      </c>
      <c r="E241" s="3">
        <v>1742</v>
      </c>
    </row>
    <row r="242" spans="1:5" ht="14.25" customHeight="1" x14ac:dyDescent="0.25">
      <c r="A242" s="6">
        <v>43966</v>
      </c>
      <c r="B242" s="3" t="s">
        <v>20</v>
      </c>
      <c r="C242" s="3">
        <v>19</v>
      </c>
      <c r="D242" s="3">
        <v>1780</v>
      </c>
      <c r="E242" s="3">
        <v>1615</v>
      </c>
    </row>
    <row r="243" spans="1:5" ht="14.25" customHeight="1" x14ac:dyDescent="0.25">
      <c r="A243" s="6">
        <v>43966</v>
      </c>
      <c r="B243" s="3" t="s">
        <v>22</v>
      </c>
      <c r="C243" s="3">
        <v>54</v>
      </c>
      <c r="D243" s="3">
        <v>12791</v>
      </c>
      <c r="E243" s="3">
        <v>11950</v>
      </c>
    </row>
    <row r="244" spans="1:5" ht="14.25" customHeight="1" x14ac:dyDescent="0.25">
      <c r="A244" s="6">
        <v>43966</v>
      </c>
      <c r="B244" s="3" t="s">
        <v>21</v>
      </c>
      <c r="C244" s="3">
        <v>60</v>
      </c>
      <c r="D244" s="3">
        <v>13544</v>
      </c>
      <c r="E244" s="3">
        <v>12643</v>
      </c>
    </row>
    <row r="245" spans="1:5" ht="14.25" customHeight="1" x14ac:dyDescent="0.25">
      <c r="A245" s="6">
        <v>43966</v>
      </c>
      <c r="B245" s="3" t="s">
        <v>13</v>
      </c>
      <c r="C245" s="3">
        <v>19</v>
      </c>
      <c r="D245" s="3">
        <v>1940</v>
      </c>
      <c r="E245" s="3">
        <v>1715</v>
      </c>
    </row>
    <row r="246" spans="1:5" ht="14.25" customHeight="1" x14ac:dyDescent="0.25">
      <c r="A246" s="6">
        <v>43966</v>
      </c>
      <c r="B246" s="3" t="s">
        <v>23</v>
      </c>
      <c r="C246" s="3">
        <v>16</v>
      </c>
      <c r="D246" s="3">
        <v>817</v>
      </c>
      <c r="E246" s="3">
        <v>718</v>
      </c>
    </row>
    <row r="247" spans="1:5" ht="14.25" customHeight="1" x14ac:dyDescent="0.25">
      <c r="A247" s="6">
        <v>43966</v>
      </c>
      <c r="B247" s="3" t="s">
        <v>18</v>
      </c>
      <c r="C247" s="3">
        <v>15</v>
      </c>
      <c r="D247" s="3">
        <v>980</v>
      </c>
      <c r="E247" s="3">
        <v>867</v>
      </c>
    </row>
    <row r="248" spans="1:5" ht="14.25" customHeight="1" x14ac:dyDescent="0.25">
      <c r="A248" s="6">
        <v>43966</v>
      </c>
      <c r="B248" s="3" t="s">
        <v>19</v>
      </c>
      <c r="C248" s="3">
        <v>15</v>
      </c>
      <c r="D248" s="3">
        <v>688</v>
      </c>
      <c r="E248" s="3">
        <v>598</v>
      </c>
    </row>
    <row r="249" spans="1:5" ht="14.25" customHeight="1" x14ac:dyDescent="0.25">
      <c r="A249" s="6">
        <v>43966</v>
      </c>
      <c r="B249" s="3" t="s">
        <v>15</v>
      </c>
      <c r="C249" s="3">
        <v>125</v>
      </c>
      <c r="D249" s="3">
        <v>21862</v>
      </c>
      <c r="E249" s="3">
        <v>20235</v>
      </c>
    </row>
    <row r="250" spans="1:5" ht="14.25" customHeight="1" x14ac:dyDescent="0.25">
      <c r="A250" s="6">
        <v>43966</v>
      </c>
      <c r="B250" s="3" t="s">
        <v>14</v>
      </c>
      <c r="C250" s="3">
        <v>129</v>
      </c>
      <c r="D250" s="3">
        <v>17808</v>
      </c>
      <c r="E250" s="3">
        <v>16486</v>
      </c>
    </row>
    <row r="251" spans="1:5" ht="14.25" customHeight="1" x14ac:dyDescent="0.25">
      <c r="A251" s="6">
        <v>43966</v>
      </c>
      <c r="B251" s="3" t="s">
        <v>12</v>
      </c>
      <c r="C251" s="3">
        <v>10</v>
      </c>
      <c r="D251" s="3">
        <v>743</v>
      </c>
      <c r="E251" s="3">
        <v>652</v>
      </c>
    </row>
    <row r="252" spans="1:5" ht="14.25" customHeight="1" x14ac:dyDescent="0.25">
      <c r="A252" s="6">
        <v>43967</v>
      </c>
      <c r="B252" s="3" t="s">
        <v>16</v>
      </c>
      <c r="C252" s="3">
        <v>36</v>
      </c>
      <c r="D252" s="3">
        <v>5286</v>
      </c>
      <c r="E252" s="3">
        <v>4867</v>
      </c>
    </row>
    <row r="253" spans="1:5" ht="14.25" customHeight="1" x14ac:dyDescent="0.25">
      <c r="A253" s="6">
        <v>43967</v>
      </c>
      <c r="B253" s="3" t="s">
        <v>11</v>
      </c>
      <c r="C253" s="3">
        <v>31</v>
      </c>
      <c r="D253" s="3">
        <v>5593</v>
      </c>
      <c r="E253" s="3">
        <v>5177</v>
      </c>
    </row>
    <row r="254" spans="1:5" ht="14.25" customHeight="1" x14ac:dyDescent="0.25">
      <c r="A254" s="6">
        <v>43967</v>
      </c>
      <c r="B254" s="3" t="s">
        <v>17</v>
      </c>
      <c r="C254" s="3">
        <v>21</v>
      </c>
      <c r="D254" s="3">
        <v>2427</v>
      </c>
      <c r="E254" s="3">
        <v>2213</v>
      </c>
    </row>
    <row r="255" spans="1:5" ht="14.25" customHeight="1" x14ac:dyDescent="0.25">
      <c r="A255" s="6">
        <v>43967</v>
      </c>
      <c r="B255" s="3" t="s">
        <v>10</v>
      </c>
      <c r="C255" s="3">
        <v>21</v>
      </c>
      <c r="D255" s="3">
        <v>2145</v>
      </c>
      <c r="E255" s="3">
        <v>1947</v>
      </c>
    </row>
    <row r="256" spans="1:5" ht="14.25" customHeight="1" x14ac:dyDescent="0.25">
      <c r="A256" s="6">
        <v>43967</v>
      </c>
      <c r="B256" s="3" t="s">
        <v>20</v>
      </c>
      <c r="C256" s="3">
        <v>19</v>
      </c>
      <c r="D256" s="3">
        <v>2039</v>
      </c>
      <c r="E256" s="3">
        <v>1868</v>
      </c>
    </row>
    <row r="257" spans="1:5" ht="14.25" customHeight="1" x14ac:dyDescent="0.25">
      <c r="A257" s="6">
        <v>43967</v>
      </c>
      <c r="B257" s="3" t="s">
        <v>22</v>
      </c>
      <c r="C257" s="3">
        <v>54</v>
      </c>
      <c r="D257" s="3">
        <v>13170</v>
      </c>
      <c r="E257" s="3">
        <v>12299</v>
      </c>
    </row>
    <row r="258" spans="1:5" ht="14.25" customHeight="1" x14ac:dyDescent="0.25">
      <c r="A258" s="6">
        <v>43967</v>
      </c>
      <c r="B258" s="3" t="s">
        <v>21</v>
      </c>
      <c r="C258" s="3">
        <v>60</v>
      </c>
      <c r="D258" s="3">
        <v>14049</v>
      </c>
      <c r="E258" s="3">
        <v>13118</v>
      </c>
    </row>
    <row r="259" spans="1:5" ht="14.25" customHeight="1" x14ac:dyDescent="0.25">
      <c r="A259" s="6">
        <v>43967</v>
      </c>
      <c r="B259" s="3" t="s">
        <v>13</v>
      </c>
      <c r="C259" s="3">
        <v>19</v>
      </c>
      <c r="D259" s="3">
        <v>2080</v>
      </c>
      <c r="E259" s="3">
        <v>1844</v>
      </c>
    </row>
    <row r="260" spans="1:5" ht="14.25" customHeight="1" x14ac:dyDescent="0.25">
      <c r="A260" s="6">
        <v>43967</v>
      </c>
      <c r="B260" s="3" t="s">
        <v>23</v>
      </c>
      <c r="C260" s="3">
        <v>16</v>
      </c>
      <c r="D260" s="3">
        <v>920</v>
      </c>
      <c r="E260" s="3">
        <v>818</v>
      </c>
    </row>
    <row r="261" spans="1:5" ht="14.25" customHeight="1" x14ac:dyDescent="0.25">
      <c r="A261" s="6">
        <v>43967</v>
      </c>
      <c r="B261" s="3" t="s">
        <v>18</v>
      </c>
      <c r="C261" s="3">
        <v>15</v>
      </c>
      <c r="D261" s="3">
        <v>1111</v>
      </c>
      <c r="E261" s="3">
        <v>992</v>
      </c>
    </row>
    <row r="262" spans="1:5" ht="14.25" customHeight="1" x14ac:dyDescent="0.25">
      <c r="A262" s="6">
        <v>43967</v>
      </c>
      <c r="B262" s="3" t="s">
        <v>19</v>
      </c>
      <c r="C262" s="3">
        <v>15</v>
      </c>
      <c r="D262" s="3">
        <v>747</v>
      </c>
      <c r="E262" s="3">
        <v>647</v>
      </c>
    </row>
    <row r="263" spans="1:5" ht="14.25" customHeight="1" x14ac:dyDescent="0.25">
      <c r="A263" s="6">
        <v>43967</v>
      </c>
      <c r="B263" s="3" t="s">
        <v>15</v>
      </c>
      <c r="C263" s="3">
        <v>125</v>
      </c>
      <c r="D263" s="3">
        <v>22291</v>
      </c>
      <c r="E263" s="3">
        <v>20635</v>
      </c>
    </row>
    <row r="264" spans="1:5" ht="14.25" customHeight="1" x14ac:dyDescent="0.25">
      <c r="A264" s="6">
        <v>43967</v>
      </c>
      <c r="B264" s="3" t="s">
        <v>14</v>
      </c>
      <c r="C264" s="3">
        <v>129</v>
      </c>
      <c r="D264" s="3">
        <v>17914</v>
      </c>
      <c r="E264" s="3">
        <v>16631</v>
      </c>
    </row>
    <row r="265" spans="1:5" ht="14.25" customHeight="1" x14ac:dyDescent="0.25">
      <c r="A265" s="6">
        <v>43967</v>
      </c>
      <c r="B265" s="3" t="s">
        <v>12</v>
      </c>
      <c r="C265" s="3">
        <v>10</v>
      </c>
      <c r="D265" s="3">
        <v>760</v>
      </c>
      <c r="E265" s="3">
        <v>672</v>
      </c>
    </row>
    <row r="266" spans="1:5" ht="14.25" customHeight="1" x14ac:dyDescent="0.25">
      <c r="A266" s="6">
        <v>43968</v>
      </c>
      <c r="B266" s="3" t="s">
        <v>16</v>
      </c>
      <c r="C266" s="3">
        <v>36</v>
      </c>
      <c r="D266" s="3">
        <v>4918</v>
      </c>
      <c r="E266" s="3">
        <v>4554</v>
      </c>
    </row>
    <row r="267" spans="1:5" ht="14.25" customHeight="1" x14ac:dyDescent="0.25">
      <c r="A267" s="6">
        <v>43968</v>
      </c>
      <c r="B267" s="3" t="s">
        <v>11</v>
      </c>
      <c r="C267" s="3">
        <v>31</v>
      </c>
      <c r="D267" s="3">
        <v>5206</v>
      </c>
      <c r="E267" s="3">
        <v>4843</v>
      </c>
    </row>
    <row r="268" spans="1:5" ht="14.25" customHeight="1" x14ac:dyDescent="0.25">
      <c r="A268" s="6">
        <v>43968</v>
      </c>
      <c r="B268" s="3" t="s">
        <v>17</v>
      </c>
      <c r="C268" s="3">
        <v>21</v>
      </c>
      <c r="D268" s="3">
        <v>2054</v>
      </c>
      <c r="E268" s="3">
        <v>1883</v>
      </c>
    </row>
    <row r="269" spans="1:5" ht="14.25" customHeight="1" x14ac:dyDescent="0.25">
      <c r="A269" s="6">
        <v>43968</v>
      </c>
      <c r="B269" s="3" t="s">
        <v>10</v>
      </c>
      <c r="C269" s="3">
        <v>21</v>
      </c>
      <c r="D269" s="3">
        <v>1874</v>
      </c>
      <c r="E269" s="3">
        <v>1705</v>
      </c>
    </row>
    <row r="270" spans="1:5" ht="14.25" customHeight="1" x14ac:dyDescent="0.25">
      <c r="A270" s="6">
        <v>43968</v>
      </c>
      <c r="B270" s="3" t="s">
        <v>20</v>
      </c>
      <c r="C270" s="3">
        <v>19</v>
      </c>
      <c r="D270" s="3">
        <v>1790</v>
      </c>
      <c r="E270" s="3">
        <v>1633</v>
      </c>
    </row>
    <row r="271" spans="1:5" ht="14.25" customHeight="1" x14ac:dyDescent="0.25">
      <c r="A271" s="6">
        <v>43968</v>
      </c>
      <c r="B271" s="3" t="s">
        <v>22</v>
      </c>
      <c r="C271" s="3">
        <v>54</v>
      </c>
      <c r="D271" s="3">
        <v>11128</v>
      </c>
      <c r="E271" s="3">
        <v>10467</v>
      </c>
    </row>
    <row r="272" spans="1:5" ht="14.25" customHeight="1" x14ac:dyDescent="0.25">
      <c r="A272" s="6">
        <v>43968</v>
      </c>
      <c r="B272" s="3" t="s">
        <v>21</v>
      </c>
      <c r="C272" s="3">
        <v>60</v>
      </c>
      <c r="D272" s="3">
        <v>11698</v>
      </c>
      <c r="E272" s="3">
        <v>10989</v>
      </c>
    </row>
    <row r="273" spans="1:5" ht="14.25" customHeight="1" x14ac:dyDescent="0.25">
      <c r="A273" s="6">
        <v>43968</v>
      </c>
      <c r="B273" s="3" t="s">
        <v>13</v>
      </c>
      <c r="C273" s="3">
        <v>19</v>
      </c>
      <c r="D273" s="3">
        <v>1871</v>
      </c>
      <c r="E273" s="3">
        <v>1660</v>
      </c>
    </row>
    <row r="274" spans="1:5" ht="14.25" customHeight="1" x14ac:dyDescent="0.25">
      <c r="A274" s="6">
        <v>43968</v>
      </c>
      <c r="B274" s="3" t="s">
        <v>23</v>
      </c>
      <c r="C274" s="3">
        <v>16</v>
      </c>
      <c r="D274" s="3">
        <v>859</v>
      </c>
      <c r="E274" s="3">
        <v>746</v>
      </c>
    </row>
    <row r="275" spans="1:5" ht="14.25" customHeight="1" x14ac:dyDescent="0.25">
      <c r="A275" s="6">
        <v>43968</v>
      </c>
      <c r="B275" s="3" t="s">
        <v>18</v>
      </c>
      <c r="C275" s="3">
        <v>15</v>
      </c>
      <c r="D275" s="3">
        <v>971</v>
      </c>
      <c r="E275" s="3">
        <v>856</v>
      </c>
    </row>
    <row r="276" spans="1:5" ht="14.25" customHeight="1" x14ac:dyDescent="0.25">
      <c r="A276" s="6">
        <v>43968</v>
      </c>
      <c r="B276" s="3" t="s">
        <v>19</v>
      </c>
      <c r="C276" s="3">
        <v>15</v>
      </c>
      <c r="D276" s="3">
        <v>692</v>
      </c>
      <c r="E276" s="3">
        <v>591</v>
      </c>
    </row>
    <row r="277" spans="1:5" ht="14.25" customHeight="1" x14ac:dyDescent="0.25">
      <c r="A277" s="6">
        <v>43968</v>
      </c>
      <c r="B277" s="3" t="s">
        <v>15</v>
      </c>
      <c r="C277" s="3">
        <v>125</v>
      </c>
      <c r="D277" s="3">
        <v>20079</v>
      </c>
      <c r="E277" s="3">
        <v>18721</v>
      </c>
    </row>
    <row r="278" spans="1:5" ht="14.25" customHeight="1" x14ac:dyDescent="0.25">
      <c r="A278" s="6">
        <v>43968</v>
      </c>
      <c r="B278" s="3" t="s">
        <v>14</v>
      </c>
      <c r="C278" s="3">
        <v>129</v>
      </c>
      <c r="D278" s="3">
        <v>15744</v>
      </c>
      <c r="E278" s="3">
        <v>14685</v>
      </c>
    </row>
    <row r="279" spans="1:5" ht="14.25" customHeight="1" x14ac:dyDescent="0.25">
      <c r="A279" s="6">
        <v>43968</v>
      </c>
      <c r="B279" s="3" t="s">
        <v>12</v>
      </c>
      <c r="C279" s="3">
        <v>10</v>
      </c>
      <c r="D279" s="3">
        <v>591</v>
      </c>
      <c r="E279" s="3">
        <v>513</v>
      </c>
    </row>
    <row r="280" spans="1:5" ht="14.25" customHeight="1" x14ac:dyDescent="0.25">
      <c r="A280" s="6">
        <v>43969</v>
      </c>
      <c r="B280" s="3" t="s">
        <v>16</v>
      </c>
      <c r="C280" s="3">
        <v>36</v>
      </c>
      <c r="D280" s="3">
        <v>4885</v>
      </c>
      <c r="E280" s="3">
        <v>4502</v>
      </c>
    </row>
    <row r="281" spans="1:5" ht="14.25" customHeight="1" x14ac:dyDescent="0.25">
      <c r="A281" s="6">
        <v>43969</v>
      </c>
      <c r="B281" s="3" t="s">
        <v>11</v>
      </c>
      <c r="C281" s="3">
        <v>31</v>
      </c>
      <c r="D281" s="3">
        <v>5165</v>
      </c>
      <c r="E281" s="3">
        <v>4813</v>
      </c>
    </row>
    <row r="282" spans="1:5" ht="14.25" customHeight="1" x14ac:dyDescent="0.25">
      <c r="A282" s="6">
        <v>43969</v>
      </c>
      <c r="B282" s="3" t="s">
        <v>17</v>
      </c>
      <c r="C282" s="3">
        <v>21</v>
      </c>
      <c r="D282" s="3">
        <v>2136</v>
      </c>
      <c r="E282" s="3">
        <v>1947</v>
      </c>
    </row>
    <row r="283" spans="1:5" ht="14.25" customHeight="1" x14ac:dyDescent="0.25">
      <c r="A283" s="6">
        <v>43969</v>
      </c>
      <c r="B283" s="3" t="s">
        <v>10</v>
      </c>
      <c r="C283" s="3">
        <v>21</v>
      </c>
      <c r="D283" s="3">
        <v>1834</v>
      </c>
      <c r="E283" s="3">
        <v>1660</v>
      </c>
    </row>
    <row r="284" spans="1:5" ht="14.25" customHeight="1" x14ac:dyDescent="0.25">
      <c r="A284" s="6">
        <v>43969</v>
      </c>
      <c r="B284" s="3" t="s">
        <v>20</v>
      </c>
      <c r="C284" s="3">
        <v>19</v>
      </c>
      <c r="D284" s="3">
        <v>1741</v>
      </c>
      <c r="E284" s="3">
        <v>1597</v>
      </c>
    </row>
    <row r="285" spans="1:5" ht="14.25" customHeight="1" x14ac:dyDescent="0.25">
      <c r="A285" s="6">
        <v>43969</v>
      </c>
      <c r="B285" s="3" t="s">
        <v>22</v>
      </c>
      <c r="C285" s="3">
        <v>54</v>
      </c>
      <c r="D285" s="3">
        <v>12012</v>
      </c>
      <c r="E285" s="3">
        <v>11308</v>
      </c>
    </row>
    <row r="286" spans="1:5" ht="14.25" customHeight="1" x14ac:dyDescent="0.25">
      <c r="A286" s="6">
        <v>43969</v>
      </c>
      <c r="B286" s="3" t="s">
        <v>21</v>
      </c>
      <c r="C286" s="3">
        <v>60</v>
      </c>
      <c r="D286" s="3">
        <v>12460</v>
      </c>
      <c r="E286" s="3">
        <v>11665</v>
      </c>
    </row>
    <row r="287" spans="1:5" ht="14.25" customHeight="1" x14ac:dyDescent="0.25">
      <c r="A287" s="6">
        <v>43969</v>
      </c>
      <c r="B287" s="3" t="s">
        <v>13</v>
      </c>
      <c r="C287" s="3">
        <v>19</v>
      </c>
      <c r="D287" s="3">
        <v>1858</v>
      </c>
      <c r="E287" s="3">
        <v>1648</v>
      </c>
    </row>
    <row r="288" spans="1:5" ht="14.25" customHeight="1" x14ac:dyDescent="0.25">
      <c r="A288" s="6">
        <v>43969</v>
      </c>
      <c r="B288" s="3" t="s">
        <v>23</v>
      </c>
      <c r="C288" s="3">
        <v>16</v>
      </c>
      <c r="D288" s="3">
        <v>864</v>
      </c>
      <c r="E288" s="3">
        <v>765</v>
      </c>
    </row>
    <row r="289" spans="1:5" ht="14.25" customHeight="1" x14ac:dyDescent="0.25">
      <c r="A289" s="6">
        <v>43969</v>
      </c>
      <c r="B289" s="3" t="s">
        <v>18</v>
      </c>
      <c r="C289" s="3">
        <v>16</v>
      </c>
      <c r="D289" s="3">
        <v>925</v>
      </c>
      <c r="E289" s="3">
        <v>816</v>
      </c>
    </row>
    <row r="290" spans="1:5" ht="14.25" customHeight="1" x14ac:dyDescent="0.25">
      <c r="A290" s="6">
        <v>43969</v>
      </c>
      <c r="B290" s="3" t="s">
        <v>19</v>
      </c>
      <c r="C290" s="3">
        <v>15</v>
      </c>
      <c r="D290" s="3">
        <v>729</v>
      </c>
      <c r="E290" s="3">
        <v>636</v>
      </c>
    </row>
    <row r="291" spans="1:5" ht="14.25" customHeight="1" x14ac:dyDescent="0.25">
      <c r="A291" s="6">
        <v>43969</v>
      </c>
      <c r="B291" s="3" t="s">
        <v>15</v>
      </c>
      <c r="C291" s="3">
        <v>125</v>
      </c>
      <c r="D291" s="3">
        <v>20449</v>
      </c>
      <c r="E291" s="3">
        <v>19060</v>
      </c>
    </row>
    <row r="292" spans="1:5" ht="14.25" customHeight="1" x14ac:dyDescent="0.25">
      <c r="A292" s="6">
        <v>43969</v>
      </c>
      <c r="B292" s="3" t="s">
        <v>14</v>
      </c>
      <c r="C292" s="3">
        <v>129</v>
      </c>
      <c r="D292" s="3">
        <v>16110</v>
      </c>
      <c r="E292" s="3">
        <v>14992</v>
      </c>
    </row>
    <row r="293" spans="1:5" ht="14.25" customHeight="1" x14ac:dyDescent="0.25">
      <c r="A293" s="6">
        <v>43969</v>
      </c>
      <c r="B293" s="3" t="s">
        <v>12</v>
      </c>
      <c r="C293" s="3">
        <v>10</v>
      </c>
      <c r="D293" s="3">
        <v>645</v>
      </c>
      <c r="E293" s="3">
        <v>565</v>
      </c>
    </row>
    <row r="294" spans="1:5" ht="14.25" customHeight="1" x14ac:dyDescent="0.25">
      <c r="A294" s="6">
        <v>43970</v>
      </c>
      <c r="B294" s="3" t="s">
        <v>16</v>
      </c>
      <c r="C294" s="3">
        <v>36</v>
      </c>
      <c r="D294" s="3">
        <v>5094</v>
      </c>
      <c r="E294" s="3">
        <v>4716</v>
      </c>
    </row>
    <row r="295" spans="1:5" ht="14.25" customHeight="1" x14ac:dyDescent="0.25">
      <c r="A295" s="6">
        <v>43970</v>
      </c>
      <c r="B295" s="3" t="s">
        <v>11</v>
      </c>
      <c r="C295" s="3">
        <v>31</v>
      </c>
      <c r="D295" s="3">
        <v>5389</v>
      </c>
      <c r="E295" s="3">
        <v>5024</v>
      </c>
    </row>
    <row r="296" spans="1:5" ht="14.25" customHeight="1" x14ac:dyDescent="0.25">
      <c r="A296" s="6">
        <v>43970</v>
      </c>
      <c r="B296" s="3" t="s">
        <v>17</v>
      </c>
      <c r="C296" s="3">
        <v>21</v>
      </c>
      <c r="D296" s="3">
        <v>2245</v>
      </c>
      <c r="E296" s="3">
        <v>2053</v>
      </c>
    </row>
    <row r="297" spans="1:5" ht="14.25" customHeight="1" x14ac:dyDescent="0.25">
      <c r="A297" s="6">
        <v>43970</v>
      </c>
      <c r="B297" s="3" t="s">
        <v>10</v>
      </c>
      <c r="C297" s="3">
        <v>21</v>
      </c>
      <c r="D297" s="3">
        <v>1860</v>
      </c>
      <c r="E297" s="3">
        <v>1704</v>
      </c>
    </row>
    <row r="298" spans="1:5" ht="14.25" customHeight="1" x14ac:dyDescent="0.25">
      <c r="A298" s="6">
        <v>43970</v>
      </c>
      <c r="B298" s="3" t="s">
        <v>20</v>
      </c>
      <c r="C298" s="3">
        <v>19</v>
      </c>
      <c r="D298" s="3">
        <v>1831</v>
      </c>
      <c r="E298" s="3">
        <v>1667</v>
      </c>
    </row>
    <row r="299" spans="1:5" ht="14.25" customHeight="1" x14ac:dyDescent="0.25">
      <c r="A299" s="6">
        <v>43970</v>
      </c>
      <c r="B299" s="3" t="s">
        <v>22</v>
      </c>
      <c r="C299" s="3">
        <v>54</v>
      </c>
      <c r="D299" s="3">
        <v>13070</v>
      </c>
      <c r="E299" s="3">
        <v>12244</v>
      </c>
    </row>
    <row r="300" spans="1:5" ht="14.25" customHeight="1" x14ac:dyDescent="0.25">
      <c r="A300" s="6">
        <v>43970</v>
      </c>
      <c r="B300" s="3" t="s">
        <v>21</v>
      </c>
      <c r="C300" s="3">
        <v>60</v>
      </c>
      <c r="D300" s="3">
        <v>13867</v>
      </c>
      <c r="E300" s="3">
        <v>12987</v>
      </c>
    </row>
    <row r="301" spans="1:5" ht="14.25" customHeight="1" x14ac:dyDescent="0.25">
      <c r="A301" s="6">
        <v>43970</v>
      </c>
      <c r="B301" s="3" t="s">
        <v>13</v>
      </c>
      <c r="C301" s="3">
        <v>19</v>
      </c>
      <c r="D301" s="3">
        <v>1999</v>
      </c>
      <c r="E301" s="3">
        <v>1799</v>
      </c>
    </row>
    <row r="302" spans="1:5" ht="14.25" customHeight="1" x14ac:dyDescent="0.25">
      <c r="A302" s="6">
        <v>43970</v>
      </c>
      <c r="B302" s="3" t="s">
        <v>23</v>
      </c>
      <c r="C302" s="3">
        <v>17</v>
      </c>
      <c r="D302" s="3">
        <v>857</v>
      </c>
      <c r="E302" s="3">
        <v>757</v>
      </c>
    </row>
    <row r="303" spans="1:5" ht="14.25" customHeight="1" x14ac:dyDescent="0.25">
      <c r="A303" s="6">
        <v>43970</v>
      </c>
      <c r="B303" s="3" t="s">
        <v>18</v>
      </c>
      <c r="C303" s="3">
        <v>16</v>
      </c>
      <c r="D303" s="3">
        <v>1012</v>
      </c>
      <c r="E303" s="3">
        <v>900</v>
      </c>
    </row>
    <row r="304" spans="1:5" ht="14.25" customHeight="1" x14ac:dyDescent="0.25">
      <c r="A304" s="6">
        <v>43970</v>
      </c>
      <c r="B304" s="3" t="s">
        <v>19</v>
      </c>
      <c r="C304" s="3">
        <v>15</v>
      </c>
      <c r="D304" s="3">
        <v>930</v>
      </c>
      <c r="E304" s="3">
        <v>827</v>
      </c>
    </row>
    <row r="305" spans="1:5" ht="14.25" customHeight="1" x14ac:dyDescent="0.25">
      <c r="A305" s="6">
        <v>43970</v>
      </c>
      <c r="B305" s="3" t="s">
        <v>15</v>
      </c>
      <c r="C305" s="3">
        <v>125</v>
      </c>
      <c r="D305" s="3">
        <v>20771</v>
      </c>
      <c r="E305" s="3">
        <v>19338</v>
      </c>
    </row>
    <row r="306" spans="1:5" ht="14.25" customHeight="1" x14ac:dyDescent="0.25">
      <c r="A306" s="6">
        <v>43970</v>
      </c>
      <c r="B306" s="3" t="s">
        <v>14</v>
      </c>
      <c r="C306" s="3">
        <v>129</v>
      </c>
      <c r="D306" s="3">
        <v>16191</v>
      </c>
      <c r="E306" s="3">
        <v>15102</v>
      </c>
    </row>
    <row r="307" spans="1:5" ht="14.25" customHeight="1" x14ac:dyDescent="0.25">
      <c r="A307" s="6">
        <v>43970</v>
      </c>
      <c r="B307" s="3" t="s">
        <v>12</v>
      </c>
      <c r="C307" s="3">
        <v>10</v>
      </c>
      <c r="D307" s="3">
        <v>649</v>
      </c>
      <c r="E307" s="3">
        <v>568</v>
      </c>
    </row>
    <row r="308" spans="1:5" ht="14.25" customHeight="1" x14ac:dyDescent="0.25">
      <c r="A308" s="6">
        <v>43971</v>
      </c>
      <c r="B308" s="3" t="s">
        <v>16</v>
      </c>
      <c r="C308" s="3">
        <v>36</v>
      </c>
      <c r="D308" s="3">
        <v>5914</v>
      </c>
      <c r="E308" s="3">
        <v>5384</v>
      </c>
    </row>
    <row r="309" spans="1:5" ht="14.25" customHeight="1" x14ac:dyDescent="0.25">
      <c r="A309" s="6">
        <v>43971</v>
      </c>
      <c r="B309" s="3" t="s">
        <v>11</v>
      </c>
      <c r="C309" s="3">
        <v>31</v>
      </c>
      <c r="D309" s="3">
        <v>5698</v>
      </c>
      <c r="E309" s="3">
        <v>5258</v>
      </c>
    </row>
    <row r="310" spans="1:5" ht="14.25" customHeight="1" x14ac:dyDescent="0.25">
      <c r="A310" s="6">
        <v>43971</v>
      </c>
      <c r="B310" s="3" t="s">
        <v>17</v>
      </c>
      <c r="C310" s="3">
        <v>21</v>
      </c>
      <c r="D310" s="3">
        <v>2410</v>
      </c>
      <c r="E310" s="3">
        <v>2202</v>
      </c>
    </row>
    <row r="311" spans="1:5" ht="14.25" customHeight="1" x14ac:dyDescent="0.25">
      <c r="A311" s="6">
        <v>43971</v>
      </c>
      <c r="B311" s="3" t="s">
        <v>10</v>
      </c>
      <c r="C311" s="3">
        <v>21</v>
      </c>
      <c r="D311" s="3">
        <v>1921</v>
      </c>
      <c r="E311" s="3">
        <v>1767</v>
      </c>
    </row>
    <row r="312" spans="1:5" ht="14.25" customHeight="1" x14ac:dyDescent="0.25">
      <c r="A312" s="6">
        <v>43971</v>
      </c>
      <c r="B312" s="3" t="s">
        <v>20</v>
      </c>
      <c r="C312" s="3">
        <v>19</v>
      </c>
      <c r="D312" s="3">
        <v>1823</v>
      </c>
      <c r="E312" s="3">
        <v>1678</v>
      </c>
    </row>
    <row r="313" spans="1:5" ht="14.25" customHeight="1" x14ac:dyDescent="0.25">
      <c r="A313" s="6">
        <v>43971</v>
      </c>
      <c r="B313" s="3" t="s">
        <v>22</v>
      </c>
      <c r="C313" s="3">
        <v>54</v>
      </c>
      <c r="D313" s="3">
        <v>13298</v>
      </c>
      <c r="E313" s="3">
        <v>12428</v>
      </c>
    </row>
    <row r="314" spans="1:5" ht="14.25" customHeight="1" x14ac:dyDescent="0.25">
      <c r="A314" s="6">
        <v>43971</v>
      </c>
      <c r="B314" s="3" t="s">
        <v>21</v>
      </c>
      <c r="C314" s="3">
        <v>60</v>
      </c>
      <c r="D314" s="3">
        <v>13792</v>
      </c>
      <c r="E314" s="3">
        <v>12834</v>
      </c>
    </row>
    <row r="315" spans="1:5" ht="14.25" customHeight="1" x14ac:dyDescent="0.25">
      <c r="A315" s="6">
        <v>43971</v>
      </c>
      <c r="B315" s="3" t="s">
        <v>13</v>
      </c>
      <c r="C315" s="3">
        <v>19</v>
      </c>
      <c r="D315" s="3">
        <v>1889</v>
      </c>
      <c r="E315" s="3">
        <v>1690</v>
      </c>
    </row>
    <row r="316" spans="1:5" ht="14.25" customHeight="1" x14ac:dyDescent="0.25">
      <c r="A316" s="6">
        <v>43971</v>
      </c>
      <c r="B316" s="3" t="s">
        <v>23</v>
      </c>
      <c r="C316" s="3">
        <v>17</v>
      </c>
      <c r="D316" s="3">
        <v>890</v>
      </c>
      <c r="E316" s="3">
        <v>794</v>
      </c>
    </row>
    <row r="317" spans="1:5" ht="14.25" customHeight="1" x14ac:dyDescent="0.25">
      <c r="A317" s="6">
        <v>43971</v>
      </c>
      <c r="B317" s="3" t="s">
        <v>18</v>
      </c>
      <c r="C317" s="3">
        <v>16</v>
      </c>
      <c r="D317" s="3">
        <v>1050</v>
      </c>
      <c r="E317" s="3">
        <v>938</v>
      </c>
    </row>
    <row r="318" spans="1:5" ht="14.25" customHeight="1" x14ac:dyDescent="0.25">
      <c r="A318" s="6">
        <v>43971</v>
      </c>
      <c r="B318" s="3" t="s">
        <v>19</v>
      </c>
      <c r="C318" s="3">
        <v>15</v>
      </c>
      <c r="D318" s="3">
        <v>760</v>
      </c>
      <c r="E318" s="3">
        <v>664</v>
      </c>
    </row>
    <row r="319" spans="1:5" ht="14.25" customHeight="1" x14ac:dyDescent="0.25">
      <c r="A319" s="6">
        <v>43971</v>
      </c>
      <c r="B319" s="3" t="s">
        <v>15</v>
      </c>
      <c r="C319" s="3">
        <v>125</v>
      </c>
      <c r="D319" s="3">
        <v>21674</v>
      </c>
      <c r="E319" s="3">
        <v>20155</v>
      </c>
    </row>
    <row r="320" spans="1:5" ht="14.25" customHeight="1" x14ac:dyDescent="0.25">
      <c r="A320" s="6">
        <v>43971</v>
      </c>
      <c r="B320" s="3" t="s">
        <v>14</v>
      </c>
      <c r="C320" s="3">
        <v>129</v>
      </c>
      <c r="D320" s="3">
        <v>17095</v>
      </c>
      <c r="E320" s="3">
        <v>15919</v>
      </c>
    </row>
    <row r="321" spans="1:5" ht="14.25" customHeight="1" x14ac:dyDescent="0.25">
      <c r="A321" s="6">
        <v>43971</v>
      </c>
      <c r="B321" s="3" t="s">
        <v>12</v>
      </c>
      <c r="C321" s="3">
        <v>10</v>
      </c>
      <c r="D321" s="3">
        <v>745</v>
      </c>
      <c r="E321" s="3">
        <v>654</v>
      </c>
    </row>
    <row r="322" spans="1:5" ht="14.25" customHeight="1" x14ac:dyDescent="0.25">
      <c r="A322" s="6">
        <v>43972</v>
      </c>
      <c r="B322" s="3" t="s">
        <v>16</v>
      </c>
      <c r="C322" s="3">
        <v>36</v>
      </c>
      <c r="D322" s="3">
        <v>4816</v>
      </c>
      <c r="E322" s="3">
        <v>4452</v>
      </c>
    </row>
    <row r="323" spans="1:5" ht="14.25" customHeight="1" x14ac:dyDescent="0.25">
      <c r="A323" s="6">
        <v>43972</v>
      </c>
      <c r="B323" s="3" t="s">
        <v>11</v>
      </c>
      <c r="C323" s="3">
        <v>31</v>
      </c>
      <c r="D323" s="3">
        <v>5207</v>
      </c>
      <c r="E323" s="3">
        <v>4868</v>
      </c>
    </row>
    <row r="324" spans="1:5" ht="14.25" customHeight="1" x14ac:dyDescent="0.25">
      <c r="A324" s="6">
        <v>43972</v>
      </c>
      <c r="B324" s="3" t="s">
        <v>17</v>
      </c>
      <c r="C324" s="3">
        <v>21</v>
      </c>
      <c r="D324" s="3">
        <v>2335</v>
      </c>
      <c r="E324" s="3">
        <v>2126</v>
      </c>
    </row>
    <row r="325" spans="1:5" ht="14.25" customHeight="1" x14ac:dyDescent="0.25">
      <c r="A325" s="6">
        <v>43972</v>
      </c>
      <c r="B325" s="3" t="s">
        <v>10</v>
      </c>
      <c r="C325" s="3">
        <v>21</v>
      </c>
      <c r="D325" s="3">
        <v>1787</v>
      </c>
      <c r="E325" s="3">
        <v>1626</v>
      </c>
    </row>
    <row r="326" spans="1:5" ht="14.25" customHeight="1" x14ac:dyDescent="0.25">
      <c r="A326" s="6">
        <v>43972</v>
      </c>
      <c r="B326" s="3" t="s">
        <v>20</v>
      </c>
      <c r="C326" s="3">
        <v>19</v>
      </c>
      <c r="D326" s="3">
        <v>1650</v>
      </c>
      <c r="E326" s="3">
        <v>1505</v>
      </c>
    </row>
    <row r="327" spans="1:5" ht="14.25" customHeight="1" x14ac:dyDescent="0.25">
      <c r="A327" s="6">
        <v>43972</v>
      </c>
      <c r="B327" s="3" t="s">
        <v>22</v>
      </c>
      <c r="C327" s="3">
        <v>54</v>
      </c>
      <c r="D327" s="3">
        <v>13240</v>
      </c>
      <c r="E327" s="3">
        <v>12360</v>
      </c>
    </row>
    <row r="328" spans="1:5" ht="14.25" customHeight="1" x14ac:dyDescent="0.25">
      <c r="A328" s="6">
        <v>43972</v>
      </c>
      <c r="B328" s="3" t="s">
        <v>21</v>
      </c>
      <c r="C328" s="3">
        <v>60</v>
      </c>
      <c r="D328" s="3">
        <v>14005</v>
      </c>
      <c r="E328" s="3">
        <v>13002</v>
      </c>
    </row>
    <row r="329" spans="1:5" ht="14.25" customHeight="1" x14ac:dyDescent="0.25">
      <c r="A329" s="6">
        <v>43972</v>
      </c>
      <c r="B329" s="3" t="s">
        <v>13</v>
      </c>
      <c r="C329" s="3">
        <v>19</v>
      </c>
      <c r="D329" s="3">
        <v>1949</v>
      </c>
      <c r="E329" s="3">
        <v>1724</v>
      </c>
    </row>
    <row r="330" spans="1:5" ht="14.25" customHeight="1" x14ac:dyDescent="0.25">
      <c r="A330" s="6">
        <v>43972</v>
      </c>
      <c r="B330" s="3" t="s">
        <v>23</v>
      </c>
      <c r="C330" s="3">
        <v>18</v>
      </c>
      <c r="D330" s="3">
        <v>888</v>
      </c>
      <c r="E330" s="3">
        <v>786</v>
      </c>
    </row>
    <row r="331" spans="1:5" ht="14.25" customHeight="1" x14ac:dyDescent="0.25">
      <c r="A331" s="6">
        <v>43972</v>
      </c>
      <c r="B331" s="3" t="s">
        <v>18</v>
      </c>
      <c r="C331" s="3">
        <v>17</v>
      </c>
      <c r="D331" s="3">
        <v>1045</v>
      </c>
      <c r="E331" s="3">
        <v>930</v>
      </c>
    </row>
    <row r="332" spans="1:5" ht="14.25" customHeight="1" x14ac:dyDescent="0.25">
      <c r="A332" s="6">
        <v>43972</v>
      </c>
      <c r="B332" s="3" t="s">
        <v>19</v>
      </c>
      <c r="C332" s="3">
        <v>15</v>
      </c>
      <c r="D332" s="3">
        <v>749</v>
      </c>
      <c r="E332" s="3">
        <v>652</v>
      </c>
    </row>
    <row r="333" spans="1:5" ht="14.25" customHeight="1" x14ac:dyDescent="0.25">
      <c r="A333" s="6">
        <v>43972</v>
      </c>
      <c r="B333" s="3" t="s">
        <v>15</v>
      </c>
      <c r="C333" s="3">
        <v>125</v>
      </c>
      <c r="D333" s="3">
        <v>20911</v>
      </c>
      <c r="E333" s="3">
        <v>19358</v>
      </c>
    </row>
    <row r="334" spans="1:5" ht="14.25" customHeight="1" x14ac:dyDescent="0.25">
      <c r="A334" s="6">
        <v>43972</v>
      </c>
      <c r="B334" s="3" t="s">
        <v>14</v>
      </c>
      <c r="C334" s="3">
        <v>129</v>
      </c>
      <c r="D334" s="3">
        <v>16373</v>
      </c>
      <c r="E334" s="3">
        <v>15223</v>
      </c>
    </row>
    <row r="335" spans="1:5" ht="14.25" customHeight="1" x14ac:dyDescent="0.25">
      <c r="A335" s="6">
        <v>43972</v>
      </c>
      <c r="B335" s="3" t="s">
        <v>12</v>
      </c>
      <c r="C335" s="3">
        <v>10</v>
      </c>
      <c r="D335" s="3">
        <v>677</v>
      </c>
      <c r="E335" s="3">
        <v>591</v>
      </c>
    </row>
    <row r="336" spans="1:5" ht="14.25" customHeight="1" x14ac:dyDescent="0.25">
      <c r="A336" s="6">
        <v>43973</v>
      </c>
      <c r="B336" s="3" t="s">
        <v>16</v>
      </c>
      <c r="C336" s="3">
        <v>36</v>
      </c>
      <c r="D336" s="3">
        <v>4857</v>
      </c>
      <c r="E336" s="3">
        <v>4456</v>
      </c>
    </row>
    <row r="337" spans="1:5" ht="14.25" customHeight="1" x14ac:dyDescent="0.25">
      <c r="A337" s="6">
        <v>43973</v>
      </c>
      <c r="B337" s="3" t="s">
        <v>11</v>
      </c>
      <c r="C337" s="3">
        <v>31</v>
      </c>
      <c r="D337" s="3">
        <v>5965</v>
      </c>
      <c r="E337" s="3">
        <v>5533</v>
      </c>
    </row>
    <row r="338" spans="1:5" ht="14.25" customHeight="1" x14ac:dyDescent="0.25">
      <c r="A338" s="6">
        <v>43973</v>
      </c>
      <c r="B338" s="3" t="s">
        <v>17</v>
      </c>
      <c r="C338" s="3">
        <v>21</v>
      </c>
      <c r="D338" s="3">
        <v>2861</v>
      </c>
      <c r="E338" s="3">
        <v>2612</v>
      </c>
    </row>
    <row r="339" spans="1:5" ht="14.25" customHeight="1" x14ac:dyDescent="0.25">
      <c r="A339" s="6">
        <v>43973</v>
      </c>
      <c r="B339" s="3" t="s">
        <v>10</v>
      </c>
      <c r="C339" s="3">
        <v>21</v>
      </c>
      <c r="D339" s="3">
        <v>2046</v>
      </c>
      <c r="E339" s="3">
        <v>1853</v>
      </c>
    </row>
    <row r="340" spans="1:5" ht="14.25" customHeight="1" x14ac:dyDescent="0.25">
      <c r="A340" s="6">
        <v>43973</v>
      </c>
      <c r="B340" s="3" t="s">
        <v>20</v>
      </c>
      <c r="C340" s="3">
        <v>19</v>
      </c>
      <c r="D340" s="3">
        <v>1859</v>
      </c>
      <c r="E340" s="3">
        <v>1697</v>
      </c>
    </row>
    <row r="341" spans="1:5" ht="14.25" customHeight="1" x14ac:dyDescent="0.25">
      <c r="A341" s="6">
        <v>43973</v>
      </c>
      <c r="B341" s="3" t="s">
        <v>22</v>
      </c>
      <c r="C341" s="3">
        <v>54</v>
      </c>
      <c r="D341" s="3">
        <v>13014</v>
      </c>
      <c r="E341" s="3">
        <v>12095</v>
      </c>
    </row>
    <row r="342" spans="1:5" ht="14.25" customHeight="1" x14ac:dyDescent="0.25">
      <c r="A342" s="6">
        <v>43973</v>
      </c>
      <c r="B342" s="3" t="s">
        <v>21</v>
      </c>
      <c r="C342" s="3">
        <v>60</v>
      </c>
      <c r="D342" s="3">
        <v>14050</v>
      </c>
      <c r="E342" s="3">
        <v>13027</v>
      </c>
    </row>
    <row r="343" spans="1:5" ht="14.25" customHeight="1" x14ac:dyDescent="0.25">
      <c r="A343" s="6">
        <v>43973</v>
      </c>
      <c r="B343" s="3" t="s">
        <v>13</v>
      </c>
      <c r="C343" s="3">
        <v>20</v>
      </c>
      <c r="D343" s="3">
        <v>2306</v>
      </c>
      <c r="E343" s="3">
        <v>2054</v>
      </c>
    </row>
    <row r="344" spans="1:5" ht="14.25" customHeight="1" x14ac:dyDescent="0.25">
      <c r="A344" s="6">
        <v>43973</v>
      </c>
      <c r="B344" s="3" t="s">
        <v>23</v>
      </c>
      <c r="C344" s="3">
        <v>18</v>
      </c>
      <c r="D344" s="3">
        <v>985</v>
      </c>
      <c r="E344" s="3">
        <v>861</v>
      </c>
    </row>
    <row r="345" spans="1:5" ht="14.25" customHeight="1" x14ac:dyDescent="0.25">
      <c r="A345" s="6">
        <v>43973</v>
      </c>
      <c r="B345" s="3" t="s">
        <v>18</v>
      </c>
      <c r="C345" s="3">
        <v>17</v>
      </c>
      <c r="D345" s="3">
        <v>1268</v>
      </c>
      <c r="E345" s="3">
        <v>1129</v>
      </c>
    </row>
    <row r="346" spans="1:5" ht="14.25" customHeight="1" x14ac:dyDescent="0.25">
      <c r="A346" s="6">
        <v>43973</v>
      </c>
      <c r="B346" s="3" t="s">
        <v>19</v>
      </c>
      <c r="C346" s="3">
        <v>15</v>
      </c>
      <c r="D346" s="3">
        <v>903</v>
      </c>
      <c r="E346" s="3">
        <v>792</v>
      </c>
    </row>
    <row r="347" spans="1:5" ht="14.25" customHeight="1" x14ac:dyDescent="0.25">
      <c r="A347" s="6">
        <v>43973</v>
      </c>
      <c r="B347" s="3" t="s">
        <v>15</v>
      </c>
      <c r="C347" s="3">
        <v>125</v>
      </c>
      <c r="D347" s="3">
        <v>21427</v>
      </c>
      <c r="E347" s="3">
        <v>19799</v>
      </c>
    </row>
    <row r="348" spans="1:5" ht="14.25" customHeight="1" x14ac:dyDescent="0.25">
      <c r="A348" s="6">
        <v>43973</v>
      </c>
      <c r="B348" s="3" t="s">
        <v>14</v>
      </c>
      <c r="C348" s="3">
        <v>129</v>
      </c>
      <c r="D348" s="3">
        <v>17088</v>
      </c>
      <c r="E348" s="3">
        <v>15804</v>
      </c>
    </row>
    <row r="349" spans="1:5" ht="14.25" customHeight="1" x14ac:dyDescent="0.25">
      <c r="A349" s="6">
        <v>43973</v>
      </c>
      <c r="B349" s="3" t="s">
        <v>12</v>
      </c>
      <c r="C349" s="3">
        <v>10</v>
      </c>
      <c r="D349" s="3">
        <v>965</v>
      </c>
      <c r="E349" s="3">
        <v>861</v>
      </c>
    </row>
    <row r="350" spans="1:5" ht="14.25" customHeight="1" x14ac:dyDescent="0.25">
      <c r="A350" s="6">
        <v>43974</v>
      </c>
      <c r="B350" s="3" t="s">
        <v>16</v>
      </c>
      <c r="C350" s="3">
        <v>36</v>
      </c>
      <c r="D350" s="3">
        <v>5651</v>
      </c>
      <c r="E350" s="3">
        <v>5212</v>
      </c>
    </row>
    <row r="351" spans="1:5" ht="14.25" customHeight="1" x14ac:dyDescent="0.25">
      <c r="A351" s="6">
        <v>43974</v>
      </c>
      <c r="B351" s="3" t="s">
        <v>11</v>
      </c>
      <c r="C351" s="3">
        <v>31</v>
      </c>
      <c r="D351" s="3">
        <v>6276</v>
      </c>
      <c r="E351" s="3">
        <v>5801</v>
      </c>
    </row>
    <row r="352" spans="1:5" ht="14.25" customHeight="1" x14ac:dyDescent="0.25">
      <c r="A352" s="6">
        <v>43974</v>
      </c>
      <c r="B352" s="3" t="s">
        <v>17</v>
      </c>
      <c r="C352" s="3">
        <v>21</v>
      </c>
      <c r="D352" s="3">
        <v>2460</v>
      </c>
      <c r="E352" s="3">
        <v>2226</v>
      </c>
    </row>
    <row r="353" spans="1:5" ht="14.25" customHeight="1" x14ac:dyDescent="0.25">
      <c r="A353" s="6">
        <v>43974</v>
      </c>
      <c r="B353" s="3" t="s">
        <v>10</v>
      </c>
      <c r="C353" s="3">
        <v>21</v>
      </c>
      <c r="D353" s="3">
        <v>2340</v>
      </c>
      <c r="E353" s="3">
        <v>2146</v>
      </c>
    </row>
    <row r="354" spans="1:5" ht="14.25" customHeight="1" x14ac:dyDescent="0.25">
      <c r="A354" s="6">
        <v>43974</v>
      </c>
      <c r="B354" s="3" t="s">
        <v>20</v>
      </c>
      <c r="C354" s="3">
        <v>19</v>
      </c>
      <c r="D354" s="3">
        <v>2195</v>
      </c>
      <c r="E354" s="3">
        <v>1999</v>
      </c>
    </row>
    <row r="355" spans="1:5" ht="14.25" customHeight="1" x14ac:dyDescent="0.25">
      <c r="A355" s="6">
        <v>43974</v>
      </c>
      <c r="B355" s="3" t="s">
        <v>22</v>
      </c>
      <c r="C355" s="3">
        <v>54</v>
      </c>
      <c r="D355" s="3">
        <v>16221</v>
      </c>
      <c r="E355" s="3">
        <v>15065</v>
      </c>
    </row>
    <row r="356" spans="1:5" ht="14.25" customHeight="1" x14ac:dyDescent="0.25">
      <c r="A356" s="6">
        <v>43974</v>
      </c>
      <c r="B356" s="3" t="s">
        <v>21</v>
      </c>
      <c r="C356" s="3">
        <v>60</v>
      </c>
      <c r="D356" s="3">
        <v>17295</v>
      </c>
      <c r="E356" s="3">
        <v>16010</v>
      </c>
    </row>
    <row r="357" spans="1:5" ht="14.25" customHeight="1" x14ac:dyDescent="0.25">
      <c r="A357" s="6">
        <v>43974</v>
      </c>
      <c r="B357" s="3" t="s">
        <v>13</v>
      </c>
      <c r="C357" s="3">
        <v>20</v>
      </c>
      <c r="D357" s="3">
        <v>2266</v>
      </c>
      <c r="E357" s="3">
        <v>1993</v>
      </c>
    </row>
    <row r="358" spans="1:5" ht="14.25" customHeight="1" x14ac:dyDescent="0.25">
      <c r="A358" s="6">
        <v>43974</v>
      </c>
      <c r="B358" s="3" t="s">
        <v>23</v>
      </c>
      <c r="C358" s="3">
        <v>18</v>
      </c>
      <c r="D358" s="3">
        <v>1031</v>
      </c>
      <c r="E358" s="3">
        <v>918</v>
      </c>
    </row>
    <row r="359" spans="1:5" ht="14.25" customHeight="1" x14ac:dyDescent="0.25">
      <c r="A359" s="6">
        <v>43974</v>
      </c>
      <c r="B359" s="3" t="s">
        <v>18</v>
      </c>
      <c r="C359" s="3">
        <v>17</v>
      </c>
      <c r="D359" s="3">
        <v>1294</v>
      </c>
      <c r="E359" s="3">
        <v>1155</v>
      </c>
    </row>
    <row r="360" spans="1:5" ht="14.25" customHeight="1" x14ac:dyDescent="0.25">
      <c r="A360" s="6">
        <v>43974</v>
      </c>
      <c r="B360" s="3" t="s">
        <v>19</v>
      </c>
      <c r="C360" s="3">
        <v>15</v>
      </c>
      <c r="D360" s="3">
        <v>840</v>
      </c>
      <c r="E360" s="3">
        <v>725</v>
      </c>
    </row>
    <row r="361" spans="1:5" ht="14.25" customHeight="1" x14ac:dyDescent="0.25">
      <c r="A361" s="6">
        <v>43974</v>
      </c>
      <c r="B361" s="3" t="s">
        <v>15</v>
      </c>
      <c r="C361" s="3">
        <v>125</v>
      </c>
      <c r="D361" s="3">
        <v>24574</v>
      </c>
      <c r="E361" s="3">
        <v>22609</v>
      </c>
    </row>
    <row r="362" spans="1:5" ht="14.25" customHeight="1" x14ac:dyDescent="0.25">
      <c r="A362" s="6">
        <v>43974</v>
      </c>
      <c r="B362" s="3" t="s">
        <v>14</v>
      </c>
      <c r="C362" s="3">
        <v>129</v>
      </c>
      <c r="D362" s="3">
        <v>19856</v>
      </c>
      <c r="E362" s="3">
        <v>18325</v>
      </c>
    </row>
    <row r="363" spans="1:5" ht="14.25" customHeight="1" x14ac:dyDescent="0.25">
      <c r="A363" s="6">
        <v>43974</v>
      </c>
      <c r="B363" s="3" t="s">
        <v>12</v>
      </c>
      <c r="C363" s="3">
        <v>10</v>
      </c>
      <c r="D363" s="3">
        <v>828</v>
      </c>
      <c r="E363" s="3">
        <v>734</v>
      </c>
    </row>
    <row r="364" spans="1:5" ht="14.25" customHeight="1" x14ac:dyDescent="0.25">
      <c r="A364" s="6">
        <v>43975</v>
      </c>
      <c r="B364" s="3" t="s">
        <v>16</v>
      </c>
      <c r="C364" s="3">
        <v>36</v>
      </c>
      <c r="D364" s="3">
        <v>4915</v>
      </c>
      <c r="E364" s="3">
        <v>4562</v>
      </c>
    </row>
    <row r="365" spans="1:5" ht="14.25" customHeight="1" x14ac:dyDescent="0.25">
      <c r="A365" s="6">
        <v>43975</v>
      </c>
      <c r="B365" s="3" t="s">
        <v>11</v>
      </c>
      <c r="C365" s="3">
        <v>31</v>
      </c>
      <c r="D365" s="3">
        <v>5035</v>
      </c>
      <c r="E365" s="3">
        <v>4683</v>
      </c>
    </row>
    <row r="366" spans="1:5" ht="14.25" customHeight="1" x14ac:dyDescent="0.25">
      <c r="A366" s="6">
        <v>43975</v>
      </c>
      <c r="B366" s="3" t="s">
        <v>17</v>
      </c>
      <c r="C366" s="3">
        <v>21</v>
      </c>
      <c r="D366" s="3">
        <v>2254</v>
      </c>
      <c r="E366" s="3">
        <v>2061</v>
      </c>
    </row>
    <row r="367" spans="1:5" ht="14.25" customHeight="1" x14ac:dyDescent="0.25">
      <c r="A367" s="6">
        <v>43975</v>
      </c>
      <c r="B367" s="3" t="s">
        <v>10</v>
      </c>
      <c r="C367" s="3">
        <v>20</v>
      </c>
      <c r="D367" s="3">
        <v>1999</v>
      </c>
      <c r="E367" s="3">
        <v>1829</v>
      </c>
    </row>
    <row r="368" spans="1:5" ht="14.25" customHeight="1" x14ac:dyDescent="0.25">
      <c r="A368" s="6">
        <v>43975</v>
      </c>
      <c r="B368" s="3" t="s">
        <v>20</v>
      </c>
      <c r="C368" s="3">
        <v>19</v>
      </c>
      <c r="D368" s="3">
        <v>1868</v>
      </c>
      <c r="E368" s="3">
        <v>1706</v>
      </c>
    </row>
    <row r="369" spans="1:5" ht="14.25" customHeight="1" x14ac:dyDescent="0.25">
      <c r="A369" s="6">
        <v>43975</v>
      </c>
      <c r="B369" s="3" t="s">
        <v>22</v>
      </c>
      <c r="C369" s="3">
        <v>54</v>
      </c>
      <c r="D369" s="3">
        <v>12211</v>
      </c>
      <c r="E369" s="3">
        <v>11427</v>
      </c>
    </row>
    <row r="370" spans="1:5" ht="14.25" customHeight="1" x14ac:dyDescent="0.25">
      <c r="A370" s="6">
        <v>43975</v>
      </c>
      <c r="B370" s="3" t="s">
        <v>21</v>
      </c>
      <c r="C370" s="3">
        <v>60</v>
      </c>
      <c r="D370" s="3">
        <v>12822</v>
      </c>
      <c r="E370" s="3">
        <v>11916</v>
      </c>
    </row>
    <row r="371" spans="1:5" ht="14.25" customHeight="1" x14ac:dyDescent="0.25">
      <c r="A371" s="6">
        <v>43975</v>
      </c>
      <c r="B371" s="3" t="s">
        <v>13</v>
      </c>
      <c r="C371" s="3">
        <v>20</v>
      </c>
      <c r="D371" s="3">
        <v>2015</v>
      </c>
      <c r="E371" s="3">
        <v>1803</v>
      </c>
    </row>
    <row r="372" spans="1:5" ht="14.25" customHeight="1" x14ac:dyDescent="0.25">
      <c r="A372" s="6">
        <v>43975</v>
      </c>
      <c r="B372" s="3" t="s">
        <v>23</v>
      </c>
      <c r="C372" s="3">
        <v>18</v>
      </c>
      <c r="D372" s="3">
        <v>1006</v>
      </c>
      <c r="E372" s="3">
        <v>904</v>
      </c>
    </row>
    <row r="373" spans="1:5" ht="14.25" customHeight="1" x14ac:dyDescent="0.25">
      <c r="A373" s="6">
        <v>43975</v>
      </c>
      <c r="B373" s="3" t="s">
        <v>18</v>
      </c>
      <c r="C373" s="3">
        <v>17</v>
      </c>
      <c r="D373" s="3">
        <v>1128</v>
      </c>
      <c r="E373" s="3">
        <v>1001</v>
      </c>
    </row>
    <row r="374" spans="1:5" ht="14.25" customHeight="1" x14ac:dyDescent="0.25">
      <c r="A374" s="6">
        <v>43975</v>
      </c>
      <c r="B374" s="3" t="s">
        <v>19</v>
      </c>
      <c r="C374" s="3">
        <v>15</v>
      </c>
      <c r="D374" s="3">
        <v>779</v>
      </c>
      <c r="E374" s="3">
        <v>673</v>
      </c>
    </row>
    <row r="375" spans="1:5" ht="14.25" customHeight="1" x14ac:dyDescent="0.25">
      <c r="A375" s="6">
        <v>43975</v>
      </c>
      <c r="B375" s="3" t="s">
        <v>15</v>
      </c>
      <c r="C375" s="3">
        <v>125</v>
      </c>
      <c r="D375" s="3">
        <v>21004</v>
      </c>
      <c r="E375" s="3">
        <v>19556</v>
      </c>
    </row>
    <row r="376" spans="1:5" ht="14.25" customHeight="1" x14ac:dyDescent="0.25">
      <c r="A376" s="6">
        <v>43975</v>
      </c>
      <c r="B376" s="3" t="s">
        <v>14</v>
      </c>
      <c r="C376" s="3">
        <v>129</v>
      </c>
      <c r="D376" s="3">
        <v>16432</v>
      </c>
      <c r="E376" s="3">
        <v>15345</v>
      </c>
    </row>
    <row r="377" spans="1:5" ht="14.25" customHeight="1" x14ac:dyDescent="0.25">
      <c r="A377" s="6">
        <v>43975</v>
      </c>
      <c r="B377" s="3" t="s">
        <v>12</v>
      </c>
      <c r="C377" s="3">
        <v>10</v>
      </c>
      <c r="D377" s="3">
        <v>639</v>
      </c>
      <c r="E377" s="3">
        <v>557</v>
      </c>
    </row>
    <row r="378" spans="1:5" ht="14.25" customHeight="1" x14ac:dyDescent="0.25">
      <c r="A378" s="6">
        <v>43976</v>
      </c>
      <c r="B378" s="3" t="s">
        <v>16</v>
      </c>
      <c r="C378" s="3">
        <v>36</v>
      </c>
      <c r="D378" s="3">
        <v>4641</v>
      </c>
      <c r="E378" s="3">
        <v>4274</v>
      </c>
    </row>
    <row r="379" spans="1:5" ht="14.25" customHeight="1" x14ac:dyDescent="0.25">
      <c r="A379" s="6">
        <v>43976</v>
      </c>
      <c r="B379" s="3" t="s">
        <v>11</v>
      </c>
      <c r="C379" s="3">
        <v>31</v>
      </c>
      <c r="D379" s="3">
        <v>5210</v>
      </c>
      <c r="E379" s="3">
        <v>4841</v>
      </c>
    </row>
    <row r="380" spans="1:5" ht="14.25" customHeight="1" x14ac:dyDescent="0.25">
      <c r="A380" s="6">
        <v>43976</v>
      </c>
      <c r="B380" s="3" t="s">
        <v>17</v>
      </c>
      <c r="C380" s="3">
        <v>21</v>
      </c>
      <c r="D380" s="3">
        <v>2330</v>
      </c>
      <c r="E380" s="3">
        <v>2142</v>
      </c>
    </row>
    <row r="381" spans="1:5" ht="14.25" customHeight="1" x14ac:dyDescent="0.25">
      <c r="A381" s="6">
        <v>43976</v>
      </c>
      <c r="B381" s="3" t="s">
        <v>10</v>
      </c>
      <c r="C381" s="3">
        <v>20</v>
      </c>
      <c r="D381" s="3">
        <v>2087</v>
      </c>
      <c r="E381" s="3">
        <v>1914</v>
      </c>
    </row>
    <row r="382" spans="1:5" ht="14.25" customHeight="1" x14ac:dyDescent="0.25">
      <c r="A382" s="6">
        <v>43976</v>
      </c>
      <c r="B382" s="3" t="s">
        <v>20</v>
      </c>
      <c r="C382" s="3">
        <v>20</v>
      </c>
      <c r="D382" s="3">
        <v>1899</v>
      </c>
      <c r="E382" s="3">
        <v>1738</v>
      </c>
    </row>
    <row r="383" spans="1:5" ht="14.25" customHeight="1" x14ac:dyDescent="0.25">
      <c r="A383" s="6">
        <v>43976</v>
      </c>
      <c r="B383" s="3" t="s">
        <v>22</v>
      </c>
      <c r="C383" s="3">
        <v>54</v>
      </c>
      <c r="D383" s="3">
        <v>12336</v>
      </c>
      <c r="E383" s="3">
        <v>11519</v>
      </c>
    </row>
    <row r="384" spans="1:5" ht="14.25" customHeight="1" x14ac:dyDescent="0.25">
      <c r="A384" s="6">
        <v>43976</v>
      </c>
      <c r="B384" s="3" t="s">
        <v>21</v>
      </c>
      <c r="C384" s="3">
        <v>59</v>
      </c>
      <c r="D384" s="3">
        <v>12983</v>
      </c>
      <c r="E384" s="3">
        <v>12056</v>
      </c>
    </row>
    <row r="385" spans="1:5" ht="14.25" customHeight="1" x14ac:dyDescent="0.25">
      <c r="A385" s="6">
        <v>43976</v>
      </c>
      <c r="B385" s="3" t="s">
        <v>13</v>
      </c>
      <c r="C385" s="3">
        <v>20</v>
      </c>
      <c r="D385" s="3">
        <v>2011</v>
      </c>
      <c r="E385" s="3">
        <v>1791</v>
      </c>
    </row>
    <row r="386" spans="1:5" ht="14.25" customHeight="1" x14ac:dyDescent="0.25">
      <c r="A386" s="6">
        <v>43976</v>
      </c>
      <c r="B386" s="3" t="s">
        <v>23</v>
      </c>
      <c r="C386" s="3">
        <v>18</v>
      </c>
      <c r="D386" s="3">
        <v>989</v>
      </c>
      <c r="E386" s="3">
        <v>887</v>
      </c>
    </row>
    <row r="387" spans="1:5" ht="14.25" customHeight="1" x14ac:dyDescent="0.25">
      <c r="A387" s="6">
        <v>43976</v>
      </c>
      <c r="B387" s="3" t="s">
        <v>18</v>
      </c>
      <c r="C387" s="3">
        <v>17</v>
      </c>
      <c r="D387" s="3">
        <v>1142</v>
      </c>
      <c r="E387" s="3">
        <v>1020</v>
      </c>
    </row>
    <row r="388" spans="1:5" ht="14.25" customHeight="1" x14ac:dyDescent="0.25">
      <c r="A388" s="6">
        <v>43976</v>
      </c>
      <c r="B388" s="3" t="s">
        <v>19</v>
      </c>
      <c r="C388" s="3">
        <v>15</v>
      </c>
      <c r="D388" s="3">
        <v>835</v>
      </c>
      <c r="E388" s="3">
        <v>736</v>
      </c>
    </row>
    <row r="389" spans="1:5" ht="14.25" customHeight="1" x14ac:dyDescent="0.25">
      <c r="A389" s="6">
        <v>43976</v>
      </c>
      <c r="B389" s="3" t="s">
        <v>15</v>
      </c>
      <c r="C389" s="3">
        <v>124</v>
      </c>
      <c r="D389" s="3">
        <v>20358</v>
      </c>
      <c r="E389" s="3">
        <v>18890</v>
      </c>
    </row>
    <row r="390" spans="1:5" ht="14.25" customHeight="1" x14ac:dyDescent="0.25">
      <c r="A390" s="6">
        <v>43976</v>
      </c>
      <c r="B390" s="3" t="s">
        <v>14</v>
      </c>
      <c r="C390" s="3">
        <v>129</v>
      </c>
      <c r="D390" s="3">
        <v>15822</v>
      </c>
      <c r="E390" s="3">
        <v>14753</v>
      </c>
    </row>
    <row r="391" spans="1:5" ht="14.25" customHeight="1" x14ac:dyDescent="0.25">
      <c r="A391" s="6">
        <v>43976</v>
      </c>
      <c r="B391" s="3" t="s">
        <v>12</v>
      </c>
      <c r="C391" s="3">
        <v>10</v>
      </c>
      <c r="D391" s="3">
        <v>739</v>
      </c>
      <c r="E391" s="3">
        <v>642</v>
      </c>
    </row>
    <row r="392" spans="1:5" ht="14.25" customHeight="1" x14ac:dyDescent="0.25">
      <c r="A392" s="6">
        <v>43977</v>
      </c>
      <c r="B392" s="3" t="s">
        <v>16</v>
      </c>
      <c r="C392" s="3">
        <v>36</v>
      </c>
      <c r="D392" s="3">
        <v>4770</v>
      </c>
      <c r="E392" s="3">
        <v>4424</v>
      </c>
    </row>
    <row r="393" spans="1:5" ht="14.25" customHeight="1" x14ac:dyDescent="0.25">
      <c r="A393" s="6">
        <v>43977</v>
      </c>
      <c r="B393" s="3" t="s">
        <v>11</v>
      </c>
      <c r="C393" s="3">
        <v>31</v>
      </c>
      <c r="D393" s="3">
        <v>5493</v>
      </c>
      <c r="E393" s="3">
        <v>5119</v>
      </c>
    </row>
    <row r="394" spans="1:5" ht="14.25" customHeight="1" x14ac:dyDescent="0.25">
      <c r="A394" s="6">
        <v>43977</v>
      </c>
      <c r="B394" s="3" t="s">
        <v>17</v>
      </c>
      <c r="C394" s="3">
        <v>21</v>
      </c>
      <c r="D394" s="3">
        <v>2418</v>
      </c>
      <c r="E394" s="3">
        <v>2215</v>
      </c>
    </row>
    <row r="395" spans="1:5" ht="14.25" customHeight="1" x14ac:dyDescent="0.25">
      <c r="A395" s="6">
        <v>43977</v>
      </c>
      <c r="B395" s="3" t="s">
        <v>10</v>
      </c>
      <c r="C395" s="3">
        <v>20</v>
      </c>
      <c r="D395" s="3">
        <v>2044</v>
      </c>
      <c r="E395" s="3">
        <v>1863</v>
      </c>
    </row>
    <row r="396" spans="1:5" ht="14.25" customHeight="1" x14ac:dyDescent="0.25">
      <c r="A396" s="6">
        <v>43977</v>
      </c>
      <c r="B396" s="3" t="s">
        <v>20</v>
      </c>
      <c r="C396" s="3">
        <v>20</v>
      </c>
      <c r="D396" s="3">
        <v>1814</v>
      </c>
      <c r="E396" s="3">
        <v>1655</v>
      </c>
    </row>
    <row r="397" spans="1:5" ht="14.25" customHeight="1" x14ac:dyDescent="0.25">
      <c r="A397" s="6">
        <v>43977</v>
      </c>
      <c r="B397" s="3" t="s">
        <v>22</v>
      </c>
      <c r="C397" s="3">
        <v>54</v>
      </c>
      <c r="D397" s="3">
        <v>14482</v>
      </c>
      <c r="E397" s="3">
        <v>13510</v>
      </c>
    </row>
    <row r="398" spans="1:5" ht="14.25" customHeight="1" x14ac:dyDescent="0.25">
      <c r="A398" s="6">
        <v>43977</v>
      </c>
      <c r="B398" s="3" t="s">
        <v>21</v>
      </c>
      <c r="C398" s="3">
        <v>59</v>
      </c>
      <c r="D398" s="3">
        <v>15369</v>
      </c>
      <c r="E398" s="3">
        <v>14299</v>
      </c>
    </row>
    <row r="399" spans="1:5" ht="14.25" customHeight="1" x14ac:dyDescent="0.25">
      <c r="A399" s="6">
        <v>43977</v>
      </c>
      <c r="B399" s="3" t="s">
        <v>13</v>
      </c>
      <c r="C399" s="3">
        <v>20</v>
      </c>
      <c r="D399" s="3">
        <v>2036</v>
      </c>
      <c r="E399" s="3">
        <v>1790</v>
      </c>
    </row>
    <row r="400" spans="1:5" ht="14.25" customHeight="1" x14ac:dyDescent="0.25">
      <c r="A400" s="6">
        <v>43977</v>
      </c>
      <c r="B400" s="3" t="s">
        <v>23</v>
      </c>
      <c r="C400" s="3">
        <v>18</v>
      </c>
      <c r="D400" s="3">
        <v>914</v>
      </c>
      <c r="E400" s="3">
        <v>804</v>
      </c>
    </row>
    <row r="401" spans="1:5" ht="14.25" customHeight="1" x14ac:dyDescent="0.25">
      <c r="A401" s="6">
        <v>43977</v>
      </c>
      <c r="B401" s="3" t="s">
        <v>18</v>
      </c>
      <c r="C401" s="3">
        <v>17</v>
      </c>
      <c r="D401" s="3">
        <v>1140</v>
      </c>
      <c r="E401" s="3">
        <v>1016</v>
      </c>
    </row>
    <row r="402" spans="1:5" ht="14.25" customHeight="1" x14ac:dyDescent="0.25">
      <c r="A402" s="6">
        <v>43977</v>
      </c>
      <c r="B402" s="3" t="s">
        <v>19</v>
      </c>
      <c r="C402" s="3">
        <v>15</v>
      </c>
      <c r="D402" s="3">
        <v>812</v>
      </c>
      <c r="E402" s="3">
        <v>711</v>
      </c>
    </row>
    <row r="403" spans="1:5" ht="14.25" customHeight="1" x14ac:dyDescent="0.25">
      <c r="A403" s="6">
        <v>43977</v>
      </c>
      <c r="B403" s="3" t="s">
        <v>15</v>
      </c>
      <c r="C403" s="3">
        <v>124</v>
      </c>
      <c r="D403" s="3">
        <v>21153</v>
      </c>
      <c r="E403" s="3">
        <v>19673</v>
      </c>
    </row>
    <row r="404" spans="1:5" ht="14.25" customHeight="1" x14ac:dyDescent="0.25">
      <c r="A404" s="6">
        <v>43977</v>
      </c>
      <c r="B404" s="3" t="s">
        <v>14</v>
      </c>
      <c r="C404" s="3">
        <v>129</v>
      </c>
      <c r="D404" s="3">
        <v>16459</v>
      </c>
      <c r="E404" s="3">
        <v>15355</v>
      </c>
    </row>
    <row r="405" spans="1:5" ht="14.25" customHeight="1" x14ac:dyDescent="0.25">
      <c r="A405" s="6">
        <v>43977</v>
      </c>
      <c r="B405" s="3" t="s">
        <v>12</v>
      </c>
      <c r="C405" s="3">
        <v>10</v>
      </c>
      <c r="D405" s="3">
        <v>692</v>
      </c>
      <c r="E405" s="3">
        <v>601</v>
      </c>
    </row>
    <row r="406" spans="1:5" ht="14.25" customHeight="1" x14ac:dyDescent="0.25">
      <c r="A406" s="6">
        <v>43977</v>
      </c>
      <c r="B406" s="3" t="s">
        <v>24</v>
      </c>
      <c r="C406" s="3">
        <v>7</v>
      </c>
      <c r="D406" s="3">
        <v>577</v>
      </c>
      <c r="E406" s="3">
        <v>389</v>
      </c>
    </row>
    <row r="407" spans="1:5" ht="14.25" customHeight="1" x14ac:dyDescent="0.25">
      <c r="A407" s="6">
        <v>43978</v>
      </c>
      <c r="B407" s="3" t="s">
        <v>16</v>
      </c>
      <c r="C407" s="3">
        <v>36</v>
      </c>
      <c r="D407" s="3">
        <v>4951</v>
      </c>
      <c r="E407" s="3">
        <v>4584</v>
      </c>
    </row>
    <row r="408" spans="1:5" ht="14.25" customHeight="1" x14ac:dyDescent="0.25">
      <c r="A408" s="6">
        <v>43978</v>
      </c>
      <c r="B408" s="3" t="s">
        <v>11</v>
      </c>
      <c r="C408" s="3">
        <v>31</v>
      </c>
      <c r="D408" s="3">
        <v>5330</v>
      </c>
      <c r="E408" s="3">
        <v>4977</v>
      </c>
    </row>
    <row r="409" spans="1:5" ht="14.25" customHeight="1" x14ac:dyDescent="0.25">
      <c r="A409" s="6">
        <v>43978</v>
      </c>
      <c r="B409" s="3" t="s">
        <v>17</v>
      </c>
      <c r="C409" s="3">
        <v>21</v>
      </c>
      <c r="D409" s="3">
        <v>2430</v>
      </c>
      <c r="E409" s="3">
        <v>2216</v>
      </c>
    </row>
    <row r="410" spans="1:5" ht="14.25" customHeight="1" x14ac:dyDescent="0.25">
      <c r="A410" s="6">
        <v>43978</v>
      </c>
      <c r="B410" s="3" t="s">
        <v>10</v>
      </c>
      <c r="C410" s="3">
        <v>20</v>
      </c>
      <c r="D410" s="3">
        <v>2079</v>
      </c>
      <c r="E410" s="3">
        <v>1893</v>
      </c>
    </row>
    <row r="411" spans="1:5" ht="14.25" customHeight="1" x14ac:dyDescent="0.25">
      <c r="A411" s="6">
        <v>43978</v>
      </c>
      <c r="B411" s="3" t="s">
        <v>20</v>
      </c>
      <c r="C411" s="3">
        <v>20</v>
      </c>
      <c r="D411" s="3">
        <v>1873</v>
      </c>
      <c r="E411" s="3">
        <v>1715</v>
      </c>
    </row>
    <row r="412" spans="1:5" ht="14.25" customHeight="1" x14ac:dyDescent="0.25">
      <c r="A412" s="6">
        <v>43978</v>
      </c>
      <c r="B412" s="3" t="s">
        <v>22</v>
      </c>
      <c r="C412" s="3">
        <v>54</v>
      </c>
      <c r="D412" s="3">
        <v>13091</v>
      </c>
      <c r="E412" s="3">
        <v>12216</v>
      </c>
    </row>
    <row r="413" spans="1:5" ht="14.25" customHeight="1" x14ac:dyDescent="0.25">
      <c r="A413" s="6">
        <v>43978</v>
      </c>
      <c r="B413" s="3" t="s">
        <v>21</v>
      </c>
      <c r="C413" s="3">
        <v>59</v>
      </c>
      <c r="D413" s="3">
        <v>13942</v>
      </c>
      <c r="E413" s="3">
        <v>12986</v>
      </c>
    </row>
    <row r="414" spans="1:5" ht="14.25" customHeight="1" x14ac:dyDescent="0.25">
      <c r="A414" s="6">
        <v>43978</v>
      </c>
      <c r="B414" s="3" t="s">
        <v>13</v>
      </c>
      <c r="C414" s="3">
        <v>20</v>
      </c>
      <c r="D414" s="3">
        <v>2079</v>
      </c>
      <c r="E414" s="3">
        <v>1856</v>
      </c>
    </row>
    <row r="415" spans="1:5" ht="14.25" customHeight="1" x14ac:dyDescent="0.25">
      <c r="A415" s="6">
        <v>43978</v>
      </c>
      <c r="B415" s="3" t="s">
        <v>23</v>
      </c>
      <c r="C415" s="3">
        <v>18</v>
      </c>
      <c r="D415" s="3">
        <v>962</v>
      </c>
      <c r="E415" s="3">
        <v>859</v>
      </c>
    </row>
    <row r="416" spans="1:5" ht="14.25" customHeight="1" x14ac:dyDescent="0.25">
      <c r="A416" s="6">
        <v>43978</v>
      </c>
      <c r="B416" s="3" t="s">
        <v>18</v>
      </c>
      <c r="C416" s="3">
        <v>17</v>
      </c>
      <c r="D416" s="3">
        <v>1203</v>
      </c>
      <c r="E416" s="3">
        <v>1077</v>
      </c>
    </row>
    <row r="417" spans="1:5" ht="14.25" customHeight="1" x14ac:dyDescent="0.25">
      <c r="A417" s="6">
        <v>43978</v>
      </c>
      <c r="B417" s="3" t="s">
        <v>19</v>
      </c>
      <c r="C417" s="3">
        <v>15</v>
      </c>
      <c r="D417" s="3">
        <v>809</v>
      </c>
      <c r="E417" s="3">
        <v>702</v>
      </c>
    </row>
    <row r="418" spans="1:5" ht="14.25" customHeight="1" x14ac:dyDescent="0.25">
      <c r="A418" s="6">
        <v>43978</v>
      </c>
      <c r="B418" s="3" t="s">
        <v>15</v>
      </c>
      <c r="C418" s="3">
        <v>124</v>
      </c>
      <c r="D418" s="3">
        <v>21384</v>
      </c>
      <c r="E418" s="3">
        <v>19897</v>
      </c>
    </row>
    <row r="419" spans="1:5" ht="14.25" customHeight="1" x14ac:dyDescent="0.25">
      <c r="A419" s="6">
        <v>43978</v>
      </c>
      <c r="B419" s="3" t="s">
        <v>14</v>
      </c>
      <c r="C419" s="3">
        <v>129</v>
      </c>
      <c r="D419" s="3">
        <v>17115</v>
      </c>
      <c r="E419" s="3">
        <v>15962</v>
      </c>
    </row>
    <row r="420" spans="1:5" ht="14.25" customHeight="1" x14ac:dyDescent="0.25">
      <c r="A420" s="6">
        <v>43978</v>
      </c>
      <c r="B420" s="3" t="s">
        <v>12</v>
      </c>
      <c r="C420" s="3">
        <v>10</v>
      </c>
      <c r="D420" s="3">
        <v>757</v>
      </c>
      <c r="E420" s="3">
        <v>660</v>
      </c>
    </row>
    <row r="421" spans="1:5" ht="14.25" customHeight="1" x14ac:dyDescent="0.25">
      <c r="A421" s="6">
        <v>43978</v>
      </c>
      <c r="B421" s="3" t="s">
        <v>24</v>
      </c>
      <c r="C421" s="3">
        <v>7</v>
      </c>
      <c r="D421" s="3">
        <v>409</v>
      </c>
      <c r="E421" s="3">
        <v>329</v>
      </c>
    </row>
    <row r="422" spans="1:5" ht="14.25" customHeight="1" x14ac:dyDescent="0.25">
      <c r="A422" s="6">
        <v>43979</v>
      </c>
      <c r="B422" s="3" t="s">
        <v>16</v>
      </c>
      <c r="C422" s="3">
        <v>37</v>
      </c>
      <c r="D422" s="3">
        <v>4840</v>
      </c>
      <c r="E422" s="3">
        <v>4475</v>
      </c>
    </row>
    <row r="423" spans="1:5" ht="14.25" customHeight="1" x14ac:dyDescent="0.25">
      <c r="A423" s="6">
        <v>43979</v>
      </c>
      <c r="B423" s="3" t="s">
        <v>11</v>
      </c>
      <c r="C423" s="3">
        <v>31</v>
      </c>
      <c r="D423" s="3">
        <v>5355</v>
      </c>
      <c r="E423" s="3">
        <v>4969</v>
      </c>
    </row>
    <row r="424" spans="1:5" ht="14.25" customHeight="1" x14ac:dyDescent="0.25">
      <c r="A424" s="6">
        <v>43979</v>
      </c>
      <c r="B424" s="3" t="s">
        <v>17</v>
      </c>
      <c r="C424" s="3">
        <v>22</v>
      </c>
      <c r="D424" s="3">
        <v>2454</v>
      </c>
      <c r="E424" s="3">
        <v>2239</v>
      </c>
    </row>
    <row r="425" spans="1:5" ht="14.25" customHeight="1" x14ac:dyDescent="0.25">
      <c r="A425" s="6">
        <v>43979</v>
      </c>
      <c r="B425" s="3" t="s">
        <v>10</v>
      </c>
      <c r="C425" s="3">
        <v>20</v>
      </c>
      <c r="D425" s="3">
        <v>1886</v>
      </c>
      <c r="E425" s="3">
        <v>1736</v>
      </c>
    </row>
    <row r="426" spans="1:5" ht="14.25" customHeight="1" x14ac:dyDescent="0.25">
      <c r="A426" s="6">
        <v>43979</v>
      </c>
      <c r="B426" s="3" t="s">
        <v>20</v>
      </c>
      <c r="C426" s="3">
        <v>20</v>
      </c>
      <c r="D426" s="3">
        <v>1875</v>
      </c>
      <c r="E426" s="3">
        <v>1701</v>
      </c>
    </row>
    <row r="427" spans="1:5" ht="14.25" customHeight="1" x14ac:dyDescent="0.25">
      <c r="A427" s="6">
        <v>43979</v>
      </c>
      <c r="B427" s="3" t="s">
        <v>22</v>
      </c>
      <c r="C427" s="3">
        <v>54</v>
      </c>
      <c r="D427" s="3">
        <v>12409</v>
      </c>
      <c r="E427" s="3">
        <v>11582</v>
      </c>
    </row>
    <row r="428" spans="1:5" ht="14.25" customHeight="1" x14ac:dyDescent="0.25">
      <c r="A428" s="6">
        <v>43979</v>
      </c>
      <c r="B428" s="3" t="s">
        <v>21</v>
      </c>
      <c r="C428" s="3">
        <v>60</v>
      </c>
      <c r="D428" s="3">
        <v>12854</v>
      </c>
      <c r="E428" s="3">
        <v>11954</v>
      </c>
    </row>
    <row r="429" spans="1:5" ht="14.25" customHeight="1" x14ac:dyDescent="0.25">
      <c r="A429" s="6">
        <v>43979</v>
      </c>
      <c r="B429" s="3" t="s">
        <v>13</v>
      </c>
      <c r="C429" s="3">
        <v>20</v>
      </c>
      <c r="D429" s="3">
        <v>2088</v>
      </c>
      <c r="E429" s="3">
        <v>1848</v>
      </c>
    </row>
    <row r="430" spans="1:5" ht="14.25" customHeight="1" x14ac:dyDescent="0.25">
      <c r="A430" s="6">
        <v>43979</v>
      </c>
      <c r="B430" s="3" t="s">
        <v>23</v>
      </c>
      <c r="C430" s="3">
        <v>18</v>
      </c>
      <c r="D430" s="3">
        <v>1020</v>
      </c>
      <c r="E430" s="3">
        <v>911</v>
      </c>
    </row>
    <row r="431" spans="1:5" ht="14.25" customHeight="1" x14ac:dyDescent="0.25">
      <c r="A431" s="6">
        <v>43979</v>
      </c>
      <c r="B431" s="3" t="s">
        <v>18</v>
      </c>
      <c r="C431" s="3">
        <v>17</v>
      </c>
      <c r="D431" s="3">
        <v>1097</v>
      </c>
      <c r="E431" s="3">
        <v>968</v>
      </c>
    </row>
    <row r="432" spans="1:5" ht="14.25" customHeight="1" x14ac:dyDescent="0.25">
      <c r="A432" s="6">
        <v>43979</v>
      </c>
      <c r="B432" s="3" t="s">
        <v>19</v>
      </c>
      <c r="C432" s="3">
        <v>16</v>
      </c>
      <c r="D432" s="3">
        <v>876</v>
      </c>
      <c r="E432" s="3">
        <v>762</v>
      </c>
    </row>
    <row r="433" spans="1:5" ht="14.25" customHeight="1" x14ac:dyDescent="0.25">
      <c r="A433" s="6">
        <v>43979</v>
      </c>
      <c r="B433" s="3" t="s">
        <v>9</v>
      </c>
      <c r="C433" s="3">
        <v>15</v>
      </c>
      <c r="D433" s="3">
        <v>464</v>
      </c>
      <c r="E433" s="3">
        <v>390</v>
      </c>
    </row>
    <row r="434" spans="1:5" ht="14.25" customHeight="1" x14ac:dyDescent="0.25">
      <c r="A434" s="6">
        <v>43979</v>
      </c>
      <c r="B434" s="3" t="s">
        <v>15</v>
      </c>
      <c r="C434" s="3">
        <v>124</v>
      </c>
      <c r="D434" s="3">
        <v>20868</v>
      </c>
      <c r="E434" s="3">
        <v>19342</v>
      </c>
    </row>
    <row r="435" spans="1:5" ht="14.25" customHeight="1" x14ac:dyDescent="0.25">
      <c r="A435" s="6">
        <v>43979</v>
      </c>
      <c r="B435" s="3" t="s">
        <v>14</v>
      </c>
      <c r="C435" s="3">
        <v>129</v>
      </c>
      <c r="D435" s="3">
        <v>16453</v>
      </c>
      <c r="E435" s="3">
        <v>15289</v>
      </c>
    </row>
    <row r="436" spans="1:5" ht="14.25" customHeight="1" x14ac:dyDescent="0.25">
      <c r="A436" s="6">
        <v>43979</v>
      </c>
      <c r="B436" s="3" t="s">
        <v>12</v>
      </c>
      <c r="C436" s="3">
        <v>10</v>
      </c>
      <c r="D436" s="3">
        <v>791</v>
      </c>
      <c r="E436" s="3">
        <v>697</v>
      </c>
    </row>
    <row r="437" spans="1:5" ht="14.25" customHeight="1" x14ac:dyDescent="0.25">
      <c r="A437" s="6">
        <v>43979</v>
      </c>
      <c r="B437" s="3" t="s">
        <v>24</v>
      </c>
      <c r="C437" s="3">
        <v>7</v>
      </c>
      <c r="D437" s="3">
        <v>420</v>
      </c>
      <c r="E437" s="3">
        <v>347</v>
      </c>
    </row>
    <row r="438" spans="1:5" ht="14.25" customHeight="1" x14ac:dyDescent="0.25">
      <c r="A438" s="6">
        <v>43980</v>
      </c>
      <c r="B438" s="3" t="s">
        <v>16</v>
      </c>
      <c r="C438" s="3">
        <v>37</v>
      </c>
      <c r="D438" s="3">
        <v>5672</v>
      </c>
      <c r="E438" s="3">
        <v>5198</v>
      </c>
    </row>
    <row r="439" spans="1:5" ht="14.25" customHeight="1" x14ac:dyDescent="0.25">
      <c r="A439" s="6">
        <v>43980</v>
      </c>
      <c r="B439" s="3" t="s">
        <v>11</v>
      </c>
      <c r="C439" s="3">
        <v>31</v>
      </c>
      <c r="D439" s="3">
        <v>5751</v>
      </c>
      <c r="E439" s="3">
        <v>5319</v>
      </c>
    </row>
    <row r="440" spans="1:5" ht="14.25" customHeight="1" x14ac:dyDescent="0.25">
      <c r="A440" s="6">
        <v>43980</v>
      </c>
      <c r="B440" s="3" t="s">
        <v>17</v>
      </c>
      <c r="C440" s="3">
        <v>22</v>
      </c>
      <c r="D440" s="3">
        <v>2597</v>
      </c>
      <c r="E440" s="3">
        <v>2379</v>
      </c>
    </row>
    <row r="441" spans="1:5" ht="14.25" customHeight="1" x14ac:dyDescent="0.25">
      <c r="A441" s="6">
        <v>43980</v>
      </c>
      <c r="B441" s="3" t="s">
        <v>10</v>
      </c>
      <c r="C441" s="3">
        <v>20</v>
      </c>
      <c r="D441" s="3">
        <v>2111</v>
      </c>
      <c r="E441" s="3">
        <v>1917</v>
      </c>
    </row>
    <row r="442" spans="1:5" ht="14.25" customHeight="1" x14ac:dyDescent="0.25">
      <c r="A442" s="6">
        <v>43980</v>
      </c>
      <c r="B442" s="3" t="s">
        <v>20</v>
      </c>
      <c r="C442" s="3">
        <v>20</v>
      </c>
      <c r="D442" s="3">
        <v>2064</v>
      </c>
      <c r="E442" s="3">
        <v>1896</v>
      </c>
    </row>
    <row r="443" spans="1:5" ht="14.25" customHeight="1" x14ac:dyDescent="0.25">
      <c r="A443" s="6">
        <v>43980</v>
      </c>
      <c r="B443" s="3" t="s">
        <v>22</v>
      </c>
      <c r="C443" s="3">
        <v>54</v>
      </c>
      <c r="D443" s="3">
        <v>14031</v>
      </c>
      <c r="E443" s="3">
        <v>12943</v>
      </c>
    </row>
    <row r="444" spans="1:5" ht="14.25" customHeight="1" x14ac:dyDescent="0.25">
      <c r="A444" s="6">
        <v>43980</v>
      </c>
      <c r="B444" s="3" t="s">
        <v>21</v>
      </c>
      <c r="C444" s="3">
        <v>59</v>
      </c>
      <c r="D444" s="3">
        <v>14507</v>
      </c>
      <c r="E444" s="3">
        <v>13386</v>
      </c>
    </row>
    <row r="445" spans="1:5" ht="14.25" customHeight="1" x14ac:dyDescent="0.25">
      <c r="A445" s="6">
        <v>43980</v>
      </c>
      <c r="B445" s="3" t="s">
        <v>13</v>
      </c>
      <c r="C445" s="3">
        <v>20</v>
      </c>
      <c r="D445" s="3">
        <v>2249</v>
      </c>
      <c r="E445" s="3">
        <v>2000</v>
      </c>
    </row>
    <row r="446" spans="1:5" ht="14.25" customHeight="1" x14ac:dyDescent="0.25">
      <c r="A446" s="6">
        <v>43980</v>
      </c>
      <c r="B446" s="3" t="s">
        <v>23</v>
      </c>
      <c r="C446" s="3">
        <v>18</v>
      </c>
      <c r="D446" s="3">
        <v>1014</v>
      </c>
      <c r="E446" s="3">
        <v>893</v>
      </c>
    </row>
    <row r="447" spans="1:5" ht="14.25" customHeight="1" x14ac:dyDescent="0.25">
      <c r="A447" s="6">
        <v>43980</v>
      </c>
      <c r="B447" s="3" t="s">
        <v>18</v>
      </c>
      <c r="C447" s="3">
        <v>17</v>
      </c>
      <c r="D447" s="3">
        <v>1296</v>
      </c>
      <c r="E447" s="3">
        <v>1153</v>
      </c>
    </row>
    <row r="448" spans="1:5" ht="14.25" customHeight="1" x14ac:dyDescent="0.25">
      <c r="A448" s="6">
        <v>43980</v>
      </c>
      <c r="B448" s="3" t="s">
        <v>19</v>
      </c>
      <c r="C448" s="3">
        <v>16</v>
      </c>
      <c r="D448" s="3">
        <v>981</v>
      </c>
      <c r="E448" s="3">
        <v>859</v>
      </c>
    </row>
    <row r="449" spans="1:5" ht="14.25" customHeight="1" x14ac:dyDescent="0.25">
      <c r="A449" s="6">
        <v>43980</v>
      </c>
      <c r="B449" s="3" t="s">
        <v>9</v>
      </c>
      <c r="C449" s="3">
        <v>15</v>
      </c>
      <c r="D449" s="3">
        <v>400</v>
      </c>
      <c r="E449" s="3">
        <v>329</v>
      </c>
    </row>
    <row r="450" spans="1:5" ht="14.25" customHeight="1" x14ac:dyDescent="0.25">
      <c r="A450" s="6">
        <v>43980</v>
      </c>
      <c r="B450" s="3" t="s">
        <v>15</v>
      </c>
      <c r="C450" s="3">
        <v>124</v>
      </c>
      <c r="D450" s="3">
        <v>25828</v>
      </c>
      <c r="E450" s="3">
        <v>23974</v>
      </c>
    </row>
    <row r="451" spans="1:5" ht="14.25" customHeight="1" x14ac:dyDescent="0.25">
      <c r="A451" s="6">
        <v>43980</v>
      </c>
      <c r="B451" s="3" t="s">
        <v>14</v>
      </c>
      <c r="C451" s="3">
        <v>129</v>
      </c>
      <c r="D451" s="3">
        <v>22403</v>
      </c>
      <c r="E451" s="3">
        <v>20676</v>
      </c>
    </row>
    <row r="452" spans="1:5" ht="14.25" customHeight="1" x14ac:dyDescent="0.25">
      <c r="A452" s="6">
        <v>43980</v>
      </c>
      <c r="B452" s="3" t="s">
        <v>12</v>
      </c>
      <c r="C452" s="3">
        <v>10</v>
      </c>
      <c r="D452" s="3">
        <v>873</v>
      </c>
      <c r="E452" s="3">
        <v>770</v>
      </c>
    </row>
    <row r="453" spans="1:5" ht="14.25" customHeight="1" x14ac:dyDescent="0.25">
      <c r="A453" s="6">
        <v>43980</v>
      </c>
      <c r="B453" s="3" t="s">
        <v>24</v>
      </c>
      <c r="C453" s="3">
        <v>7</v>
      </c>
      <c r="D453" s="3">
        <v>491</v>
      </c>
      <c r="E453" s="3">
        <v>411</v>
      </c>
    </row>
    <row r="454" spans="1:5" ht="14.25" customHeight="1" x14ac:dyDescent="0.25">
      <c r="A454" s="6">
        <v>43981</v>
      </c>
      <c r="B454" s="3" t="s">
        <v>16</v>
      </c>
      <c r="C454" s="3">
        <v>37</v>
      </c>
      <c r="D454" s="3">
        <v>6645</v>
      </c>
      <c r="E454" s="3">
        <v>6122</v>
      </c>
    </row>
    <row r="455" spans="1:5" ht="14.25" customHeight="1" x14ac:dyDescent="0.25">
      <c r="A455" s="6">
        <v>43981</v>
      </c>
      <c r="B455" s="3" t="s">
        <v>11</v>
      </c>
      <c r="C455" s="3">
        <v>31</v>
      </c>
      <c r="D455" s="3">
        <v>6735</v>
      </c>
      <c r="E455" s="3">
        <v>6264</v>
      </c>
    </row>
    <row r="456" spans="1:5" ht="14.25" customHeight="1" x14ac:dyDescent="0.25">
      <c r="A456" s="6">
        <v>43981</v>
      </c>
      <c r="B456" s="3" t="s">
        <v>17</v>
      </c>
      <c r="C456" s="3">
        <v>22</v>
      </c>
      <c r="D456" s="3">
        <v>2793</v>
      </c>
      <c r="E456" s="3">
        <v>2539</v>
      </c>
    </row>
    <row r="457" spans="1:5" ht="14.25" customHeight="1" x14ac:dyDescent="0.25">
      <c r="A457" s="6">
        <v>43981</v>
      </c>
      <c r="B457" s="3" t="s">
        <v>10</v>
      </c>
      <c r="C457" s="3">
        <v>20</v>
      </c>
      <c r="D457" s="3">
        <v>2597</v>
      </c>
      <c r="E457" s="3">
        <v>2376</v>
      </c>
    </row>
    <row r="458" spans="1:5" ht="14.25" customHeight="1" x14ac:dyDescent="0.25">
      <c r="A458" s="6">
        <v>43981</v>
      </c>
      <c r="B458" s="3" t="s">
        <v>20</v>
      </c>
      <c r="C458" s="3">
        <v>20</v>
      </c>
      <c r="D458" s="3">
        <v>2174</v>
      </c>
      <c r="E458" s="3">
        <v>1957</v>
      </c>
    </row>
    <row r="459" spans="1:5" ht="14.25" customHeight="1" x14ac:dyDescent="0.25">
      <c r="A459" s="6">
        <v>43981</v>
      </c>
      <c r="B459" s="3" t="s">
        <v>22</v>
      </c>
      <c r="C459" s="3">
        <v>54</v>
      </c>
      <c r="D459" s="3">
        <v>14590</v>
      </c>
      <c r="E459" s="3">
        <v>13551</v>
      </c>
    </row>
    <row r="460" spans="1:5" ht="14.25" customHeight="1" x14ac:dyDescent="0.25">
      <c r="A460" s="6">
        <v>43981</v>
      </c>
      <c r="B460" s="3" t="s">
        <v>21</v>
      </c>
      <c r="C460" s="3">
        <v>59</v>
      </c>
      <c r="D460" s="3">
        <v>15030</v>
      </c>
      <c r="E460" s="3">
        <v>13956</v>
      </c>
    </row>
    <row r="461" spans="1:5" ht="14.25" customHeight="1" x14ac:dyDescent="0.25">
      <c r="A461" s="6">
        <v>43981</v>
      </c>
      <c r="B461" s="3" t="s">
        <v>13</v>
      </c>
      <c r="C461" s="3">
        <v>20</v>
      </c>
      <c r="D461" s="3">
        <v>2451</v>
      </c>
      <c r="E461" s="3">
        <v>2178</v>
      </c>
    </row>
    <row r="462" spans="1:5" ht="14.25" customHeight="1" x14ac:dyDescent="0.25">
      <c r="A462" s="6">
        <v>43981</v>
      </c>
      <c r="B462" s="3" t="s">
        <v>23</v>
      </c>
      <c r="C462" s="3">
        <v>18</v>
      </c>
      <c r="D462" s="3">
        <v>1216</v>
      </c>
      <c r="E462" s="3">
        <v>1101</v>
      </c>
    </row>
    <row r="463" spans="1:5" ht="14.25" customHeight="1" x14ac:dyDescent="0.25">
      <c r="A463" s="6">
        <v>43981</v>
      </c>
      <c r="B463" s="3" t="s">
        <v>18</v>
      </c>
      <c r="C463" s="3">
        <v>17</v>
      </c>
      <c r="D463" s="3">
        <v>1697</v>
      </c>
      <c r="E463" s="3">
        <v>1499</v>
      </c>
    </row>
    <row r="464" spans="1:5" ht="14.25" customHeight="1" x14ac:dyDescent="0.25">
      <c r="A464" s="6">
        <v>43981</v>
      </c>
      <c r="B464" s="3" t="s">
        <v>19</v>
      </c>
      <c r="C464" s="3">
        <v>16</v>
      </c>
      <c r="D464" s="3">
        <v>1048</v>
      </c>
      <c r="E464" s="3">
        <v>918</v>
      </c>
    </row>
    <row r="465" spans="1:5" ht="14.25" customHeight="1" x14ac:dyDescent="0.25">
      <c r="A465" s="6">
        <v>43981</v>
      </c>
      <c r="B465" s="3" t="s">
        <v>9</v>
      </c>
      <c r="C465" s="3">
        <v>15</v>
      </c>
      <c r="D465" s="3">
        <v>490</v>
      </c>
      <c r="E465" s="3">
        <v>409</v>
      </c>
    </row>
    <row r="466" spans="1:5" ht="14.25" customHeight="1" x14ac:dyDescent="0.25">
      <c r="A466" s="6">
        <v>43981</v>
      </c>
      <c r="B466" s="3" t="s">
        <v>15</v>
      </c>
      <c r="C466" s="3">
        <v>124</v>
      </c>
      <c r="D466" s="3">
        <v>24325</v>
      </c>
      <c r="E466" s="3">
        <v>22469</v>
      </c>
    </row>
    <row r="467" spans="1:5" ht="14.25" customHeight="1" x14ac:dyDescent="0.25">
      <c r="A467" s="6">
        <v>43981</v>
      </c>
      <c r="B467" s="3" t="s">
        <v>14</v>
      </c>
      <c r="C467" s="3">
        <v>129</v>
      </c>
      <c r="D467" s="3">
        <v>20243</v>
      </c>
      <c r="E467" s="3">
        <v>18711</v>
      </c>
    </row>
    <row r="468" spans="1:5" ht="14.25" customHeight="1" x14ac:dyDescent="0.25">
      <c r="A468" s="6">
        <v>43981</v>
      </c>
      <c r="B468" s="3" t="s">
        <v>12</v>
      </c>
      <c r="C468" s="3">
        <v>10</v>
      </c>
      <c r="D468" s="3">
        <v>865</v>
      </c>
      <c r="E468" s="3">
        <v>763</v>
      </c>
    </row>
    <row r="469" spans="1:5" ht="14.25" customHeight="1" x14ac:dyDescent="0.25">
      <c r="A469" s="6">
        <v>43981</v>
      </c>
      <c r="B469" s="3" t="s">
        <v>24</v>
      </c>
      <c r="C469" s="3">
        <v>7</v>
      </c>
      <c r="D469" s="3">
        <v>532</v>
      </c>
      <c r="E469" s="3">
        <v>449</v>
      </c>
    </row>
    <row r="470" spans="1:5" ht="14.25" customHeight="1" x14ac:dyDescent="0.25">
      <c r="A470" s="6">
        <v>43982</v>
      </c>
      <c r="B470" s="3" t="s">
        <v>16</v>
      </c>
      <c r="C470" s="3">
        <v>37</v>
      </c>
      <c r="D470" s="3">
        <v>5215</v>
      </c>
      <c r="E470" s="3">
        <v>4848</v>
      </c>
    </row>
    <row r="471" spans="1:5" ht="14.25" customHeight="1" x14ac:dyDescent="0.25">
      <c r="A471" s="6">
        <v>43982</v>
      </c>
      <c r="B471" s="3" t="s">
        <v>11</v>
      </c>
      <c r="C471" s="3">
        <v>31</v>
      </c>
      <c r="D471" s="3">
        <v>5760</v>
      </c>
      <c r="E471" s="3">
        <v>5367</v>
      </c>
    </row>
    <row r="472" spans="1:5" ht="14.25" customHeight="1" x14ac:dyDescent="0.25">
      <c r="A472" s="6">
        <v>43982</v>
      </c>
      <c r="B472" s="3" t="s">
        <v>17</v>
      </c>
      <c r="C472" s="3">
        <v>23</v>
      </c>
      <c r="D472" s="3">
        <v>2522</v>
      </c>
      <c r="E472" s="3">
        <v>2295</v>
      </c>
    </row>
    <row r="473" spans="1:5" ht="14.25" customHeight="1" x14ac:dyDescent="0.25">
      <c r="A473" s="6">
        <v>43982</v>
      </c>
      <c r="B473" s="3" t="s">
        <v>10</v>
      </c>
      <c r="C473" s="3">
        <v>21</v>
      </c>
      <c r="D473" s="3">
        <v>2271</v>
      </c>
      <c r="E473" s="3">
        <v>2085</v>
      </c>
    </row>
    <row r="474" spans="1:5" ht="14.25" customHeight="1" x14ac:dyDescent="0.25">
      <c r="A474" s="6">
        <v>43982</v>
      </c>
      <c r="B474" s="3" t="s">
        <v>20</v>
      </c>
      <c r="C474" s="3">
        <v>21</v>
      </c>
      <c r="D474" s="3">
        <v>2056</v>
      </c>
      <c r="E474" s="3">
        <v>1879</v>
      </c>
    </row>
    <row r="475" spans="1:5" ht="14.25" customHeight="1" x14ac:dyDescent="0.25">
      <c r="A475" s="6">
        <v>43982</v>
      </c>
      <c r="B475" s="3" t="s">
        <v>22</v>
      </c>
      <c r="C475" s="3">
        <v>54</v>
      </c>
      <c r="D475" s="3">
        <v>13106</v>
      </c>
      <c r="E475" s="3">
        <v>12164</v>
      </c>
    </row>
    <row r="476" spans="1:5" ht="14.25" customHeight="1" x14ac:dyDescent="0.25">
      <c r="A476" s="6">
        <v>43982</v>
      </c>
      <c r="B476" s="3" t="s">
        <v>21</v>
      </c>
      <c r="C476" s="3">
        <v>59</v>
      </c>
      <c r="D476" s="3">
        <v>13684</v>
      </c>
      <c r="E476" s="3">
        <v>12690</v>
      </c>
    </row>
    <row r="477" spans="1:5" ht="14.25" customHeight="1" x14ac:dyDescent="0.25">
      <c r="A477" s="6">
        <v>43982</v>
      </c>
      <c r="B477" s="3" t="s">
        <v>13</v>
      </c>
      <c r="C477" s="3">
        <v>20</v>
      </c>
      <c r="D477" s="3">
        <v>2060</v>
      </c>
      <c r="E477" s="3">
        <v>1826</v>
      </c>
    </row>
    <row r="478" spans="1:5" ht="14.25" customHeight="1" x14ac:dyDescent="0.25">
      <c r="A478" s="6">
        <v>43982</v>
      </c>
      <c r="B478" s="3" t="s">
        <v>23</v>
      </c>
      <c r="C478" s="3">
        <v>18</v>
      </c>
      <c r="D478" s="3">
        <v>1029</v>
      </c>
      <c r="E478" s="3">
        <v>925</v>
      </c>
    </row>
    <row r="479" spans="1:5" ht="14.25" customHeight="1" x14ac:dyDescent="0.25">
      <c r="A479" s="6">
        <v>43982</v>
      </c>
      <c r="B479" s="3" t="s">
        <v>18</v>
      </c>
      <c r="C479" s="3">
        <v>17</v>
      </c>
      <c r="D479" s="3">
        <v>1186</v>
      </c>
      <c r="E479" s="3">
        <v>1054</v>
      </c>
    </row>
    <row r="480" spans="1:5" ht="14.25" customHeight="1" x14ac:dyDescent="0.25">
      <c r="A480" s="6">
        <v>43982</v>
      </c>
      <c r="B480" s="3" t="s">
        <v>19</v>
      </c>
      <c r="C480" s="3">
        <v>16</v>
      </c>
      <c r="D480" s="3">
        <v>917</v>
      </c>
      <c r="E480" s="3">
        <v>802</v>
      </c>
    </row>
    <row r="481" spans="1:5" ht="14.25" customHeight="1" x14ac:dyDescent="0.25">
      <c r="A481" s="6">
        <v>43982</v>
      </c>
      <c r="B481" s="3" t="s">
        <v>9</v>
      </c>
      <c r="C481" s="3">
        <v>15</v>
      </c>
      <c r="D481" s="3">
        <v>441</v>
      </c>
      <c r="E481" s="3">
        <v>368</v>
      </c>
    </row>
    <row r="482" spans="1:5" ht="14.25" customHeight="1" x14ac:dyDescent="0.25">
      <c r="A482" s="6">
        <v>43982</v>
      </c>
      <c r="B482" s="3" t="s">
        <v>15</v>
      </c>
      <c r="C482" s="3">
        <v>124</v>
      </c>
      <c r="D482" s="3">
        <v>21392</v>
      </c>
      <c r="E482" s="3">
        <v>19869</v>
      </c>
    </row>
    <row r="483" spans="1:5" ht="14.25" customHeight="1" x14ac:dyDescent="0.25">
      <c r="A483" s="6">
        <v>43982</v>
      </c>
      <c r="B483" s="3" t="s">
        <v>14</v>
      </c>
      <c r="C483" s="3">
        <v>129</v>
      </c>
      <c r="D483" s="3">
        <v>17235</v>
      </c>
      <c r="E483" s="3">
        <v>16052</v>
      </c>
    </row>
    <row r="484" spans="1:5" ht="14.25" customHeight="1" x14ac:dyDescent="0.25">
      <c r="A484" s="6">
        <v>43982</v>
      </c>
      <c r="B484" s="3" t="s">
        <v>12</v>
      </c>
      <c r="C484" s="3">
        <v>10</v>
      </c>
      <c r="D484" s="3">
        <v>749</v>
      </c>
      <c r="E484" s="3">
        <v>655</v>
      </c>
    </row>
    <row r="485" spans="1:5" ht="14.25" customHeight="1" x14ac:dyDescent="0.25">
      <c r="A485" s="6">
        <v>43982</v>
      </c>
      <c r="B485" s="3" t="s">
        <v>25</v>
      </c>
      <c r="C485" s="3">
        <v>9</v>
      </c>
      <c r="D485" s="3">
        <v>345</v>
      </c>
      <c r="E485" s="3">
        <v>255</v>
      </c>
    </row>
    <row r="486" spans="1:5" ht="14.25" customHeight="1" x14ac:dyDescent="0.25">
      <c r="A486" s="6">
        <v>43982</v>
      </c>
      <c r="B486" s="3" t="s">
        <v>24</v>
      </c>
      <c r="C486" s="3">
        <v>7</v>
      </c>
      <c r="D486" s="3">
        <v>530</v>
      </c>
      <c r="E486" s="3">
        <v>447</v>
      </c>
    </row>
    <row r="487" spans="1:5" ht="14.25" customHeight="1" x14ac:dyDescent="0.25">
      <c r="A487" s="6">
        <v>43982</v>
      </c>
      <c r="B487" s="3" t="s">
        <v>26</v>
      </c>
      <c r="C487" s="3">
        <v>6</v>
      </c>
      <c r="D487" s="3">
        <v>261</v>
      </c>
      <c r="E487" s="3">
        <v>188</v>
      </c>
    </row>
    <row r="488" spans="1:5" ht="14.25" customHeight="1" x14ac:dyDescent="0.25">
      <c r="A488" s="6">
        <v>43983</v>
      </c>
      <c r="B488" s="3" t="s">
        <v>16</v>
      </c>
      <c r="C488" s="3">
        <v>37</v>
      </c>
      <c r="D488" s="3">
        <v>4722</v>
      </c>
      <c r="E488" s="3">
        <v>4352</v>
      </c>
    </row>
    <row r="489" spans="1:5" ht="14.25" customHeight="1" x14ac:dyDescent="0.25">
      <c r="A489" s="6">
        <v>43983</v>
      </c>
      <c r="B489" s="3" t="s">
        <v>11</v>
      </c>
      <c r="C489" s="3">
        <v>31</v>
      </c>
      <c r="D489" s="3">
        <v>5468</v>
      </c>
      <c r="E489" s="3">
        <v>5081</v>
      </c>
    </row>
    <row r="490" spans="1:5" ht="14.25" customHeight="1" x14ac:dyDescent="0.25">
      <c r="A490" s="6">
        <v>43983</v>
      </c>
      <c r="B490" s="3" t="s">
        <v>17</v>
      </c>
      <c r="C490" s="3">
        <v>23</v>
      </c>
      <c r="D490" s="3">
        <v>2531</v>
      </c>
      <c r="E490" s="3">
        <v>2296</v>
      </c>
    </row>
    <row r="491" spans="1:5" ht="14.25" customHeight="1" x14ac:dyDescent="0.25">
      <c r="A491" s="6">
        <v>43983</v>
      </c>
      <c r="B491" s="3" t="s">
        <v>10</v>
      </c>
      <c r="C491" s="3">
        <v>21</v>
      </c>
      <c r="D491" s="3">
        <v>2025</v>
      </c>
      <c r="E491" s="3">
        <v>1849</v>
      </c>
    </row>
    <row r="492" spans="1:5" ht="14.25" customHeight="1" x14ac:dyDescent="0.25">
      <c r="A492" s="6">
        <v>43983</v>
      </c>
      <c r="B492" s="3" t="s">
        <v>20</v>
      </c>
      <c r="C492" s="3">
        <v>21</v>
      </c>
      <c r="D492" s="3">
        <v>1879</v>
      </c>
      <c r="E492" s="3">
        <v>1720</v>
      </c>
    </row>
    <row r="493" spans="1:5" ht="14.25" customHeight="1" x14ac:dyDescent="0.25">
      <c r="A493" s="6">
        <v>43983</v>
      </c>
      <c r="B493" s="3" t="s">
        <v>22</v>
      </c>
      <c r="C493" s="3">
        <v>54</v>
      </c>
      <c r="D493" s="3">
        <v>11864</v>
      </c>
      <c r="E493" s="3">
        <v>11071</v>
      </c>
    </row>
    <row r="494" spans="1:5" ht="14.25" customHeight="1" x14ac:dyDescent="0.25">
      <c r="A494" s="6">
        <v>43983</v>
      </c>
      <c r="B494" s="3" t="s">
        <v>21</v>
      </c>
      <c r="C494" s="3">
        <v>59</v>
      </c>
      <c r="D494" s="3">
        <v>12299</v>
      </c>
      <c r="E494" s="3">
        <v>11448</v>
      </c>
    </row>
    <row r="495" spans="1:5" ht="14.25" customHeight="1" x14ac:dyDescent="0.25">
      <c r="A495" s="6">
        <v>43983</v>
      </c>
      <c r="B495" s="3" t="s">
        <v>13</v>
      </c>
      <c r="C495" s="3">
        <v>20</v>
      </c>
      <c r="D495" s="3">
        <v>2136</v>
      </c>
      <c r="E495" s="3">
        <v>1899</v>
      </c>
    </row>
    <row r="496" spans="1:5" ht="14.25" customHeight="1" x14ac:dyDescent="0.25">
      <c r="A496" s="6">
        <v>43983</v>
      </c>
      <c r="B496" s="3" t="s">
        <v>23</v>
      </c>
      <c r="C496" s="3">
        <v>18</v>
      </c>
      <c r="D496" s="3">
        <v>923</v>
      </c>
      <c r="E496" s="3">
        <v>824</v>
      </c>
    </row>
    <row r="497" spans="1:5" ht="14.25" customHeight="1" x14ac:dyDescent="0.25">
      <c r="A497" s="6">
        <v>43983</v>
      </c>
      <c r="B497" s="3" t="s">
        <v>18</v>
      </c>
      <c r="C497" s="3">
        <v>17</v>
      </c>
      <c r="D497" s="3">
        <v>1185</v>
      </c>
      <c r="E497" s="3">
        <v>1042</v>
      </c>
    </row>
    <row r="498" spans="1:5" ht="14.25" customHeight="1" x14ac:dyDescent="0.25">
      <c r="A498" s="6">
        <v>43983</v>
      </c>
      <c r="B498" s="3" t="s">
        <v>19</v>
      </c>
      <c r="C498" s="3">
        <v>16</v>
      </c>
      <c r="D498" s="3">
        <v>1019</v>
      </c>
      <c r="E498" s="3">
        <v>895</v>
      </c>
    </row>
    <row r="499" spans="1:5" ht="14.25" customHeight="1" x14ac:dyDescent="0.25">
      <c r="A499" s="6">
        <v>43983</v>
      </c>
      <c r="B499" s="3" t="s">
        <v>9</v>
      </c>
      <c r="C499" s="3">
        <v>15</v>
      </c>
      <c r="D499" s="3">
        <v>453</v>
      </c>
      <c r="E499" s="3">
        <v>370</v>
      </c>
    </row>
    <row r="500" spans="1:5" ht="14.25" customHeight="1" x14ac:dyDescent="0.25">
      <c r="A500" s="6">
        <v>43983</v>
      </c>
      <c r="B500" s="3" t="s">
        <v>15</v>
      </c>
      <c r="C500" s="3">
        <v>123</v>
      </c>
      <c r="D500" s="3">
        <v>20325</v>
      </c>
      <c r="E500" s="3">
        <v>18935</v>
      </c>
    </row>
    <row r="501" spans="1:5" ht="14.25" customHeight="1" x14ac:dyDescent="0.25">
      <c r="A501" s="6">
        <v>43983</v>
      </c>
      <c r="B501" s="3" t="s">
        <v>14</v>
      </c>
      <c r="C501" s="3">
        <v>128</v>
      </c>
      <c r="D501" s="3">
        <v>16285</v>
      </c>
      <c r="E501" s="3">
        <v>15130</v>
      </c>
    </row>
    <row r="502" spans="1:5" ht="14.25" customHeight="1" x14ac:dyDescent="0.25">
      <c r="A502" s="6">
        <v>43983</v>
      </c>
      <c r="B502" s="3" t="s">
        <v>12</v>
      </c>
      <c r="C502" s="3">
        <v>10</v>
      </c>
      <c r="D502" s="3">
        <v>719</v>
      </c>
      <c r="E502" s="3">
        <v>627</v>
      </c>
    </row>
    <row r="503" spans="1:5" ht="14.25" customHeight="1" x14ac:dyDescent="0.25">
      <c r="A503" s="6">
        <v>43983</v>
      </c>
      <c r="B503" s="3" t="s">
        <v>25</v>
      </c>
      <c r="C503" s="3">
        <v>9</v>
      </c>
      <c r="D503" s="3">
        <v>294</v>
      </c>
      <c r="E503" s="3">
        <v>224</v>
      </c>
    </row>
    <row r="504" spans="1:5" ht="14.25" customHeight="1" x14ac:dyDescent="0.25">
      <c r="A504" s="6">
        <v>43983</v>
      </c>
      <c r="B504" s="3" t="s">
        <v>24</v>
      </c>
      <c r="C504" s="3">
        <v>7</v>
      </c>
      <c r="D504" s="3">
        <v>500</v>
      </c>
      <c r="E504" s="3">
        <v>418</v>
      </c>
    </row>
    <row r="505" spans="1:5" ht="14.25" customHeight="1" x14ac:dyDescent="0.25">
      <c r="A505" s="6">
        <v>43983</v>
      </c>
      <c r="B505" s="3" t="s">
        <v>26</v>
      </c>
      <c r="C505" s="3">
        <v>6</v>
      </c>
      <c r="D505" s="3">
        <v>237</v>
      </c>
      <c r="E505" s="3">
        <v>175</v>
      </c>
    </row>
    <row r="506" spans="1:5" ht="14.25" customHeight="1" x14ac:dyDescent="0.25"/>
    <row r="507" spans="1:5" ht="14.25" customHeight="1" x14ac:dyDescent="0.25"/>
    <row r="508" spans="1:5" ht="14.25" customHeight="1" x14ac:dyDescent="0.25"/>
    <row r="509" spans="1:5" ht="14.25" customHeight="1" x14ac:dyDescent="0.25"/>
    <row r="510" spans="1:5" ht="14.25" customHeight="1" x14ac:dyDescent="0.25"/>
    <row r="511" spans="1:5" ht="14.25" customHeight="1" x14ac:dyDescent="0.25"/>
    <row r="512" spans="1:5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677F-3060-44E5-BCF6-58F45E2D2280}">
  <dimension ref="A3:D28"/>
  <sheetViews>
    <sheetView workbookViewId="0">
      <selection activeCell="B34" sqref="B34"/>
    </sheetView>
  </sheetViews>
  <sheetFormatPr defaultRowHeight="15" x14ac:dyDescent="0.25"/>
  <cols>
    <col min="1" max="1" width="26.5703125" bestFit="1" customWidth="1"/>
    <col min="2" max="2" width="34" bestFit="1" customWidth="1"/>
    <col min="3" max="3" width="38.140625" bestFit="1" customWidth="1"/>
    <col min="4" max="4" width="35" bestFit="1" customWidth="1"/>
  </cols>
  <sheetData>
    <row r="3" spans="1:4" x14ac:dyDescent="0.25">
      <c r="A3" s="17" t="s">
        <v>28</v>
      </c>
      <c r="B3" t="s">
        <v>30</v>
      </c>
      <c r="C3" t="s">
        <v>31</v>
      </c>
      <c r="D3" t="s">
        <v>32</v>
      </c>
    </row>
    <row r="4" spans="1:4" x14ac:dyDescent="0.25">
      <c r="A4" s="18">
        <v>18</v>
      </c>
      <c r="B4" s="13">
        <v>546119835</v>
      </c>
      <c r="C4" s="13">
        <v>5553033.8794016559</v>
      </c>
      <c r="D4" s="20">
        <v>0.1711715105809504</v>
      </c>
    </row>
    <row r="5" spans="1:4" x14ac:dyDescent="0.25">
      <c r="A5" s="19" t="s">
        <v>21</v>
      </c>
      <c r="B5" s="13">
        <v>136791225</v>
      </c>
      <c r="C5" s="13">
        <v>2318495.338983051</v>
      </c>
      <c r="D5" s="20">
        <v>4.2874766886041901E-2</v>
      </c>
    </row>
    <row r="6" spans="1:4" x14ac:dyDescent="0.25">
      <c r="A6" s="19" t="s">
        <v>15</v>
      </c>
      <c r="B6" s="13">
        <v>233059077</v>
      </c>
      <c r="C6" s="13">
        <v>1864472.6159999999</v>
      </c>
      <c r="D6" s="20">
        <v>7.3048206104237234E-2</v>
      </c>
    </row>
    <row r="7" spans="1:4" x14ac:dyDescent="0.25">
      <c r="A7" s="19" t="s">
        <v>14</v>
      </c>
      <c r="B7" s="13">
        <v>176269533</v>
      </c>
      <c r="C7" s="13">
        <v>1370065.9244186047</v>
      </c>
      <c r="D7" s="20">
        <v>5.5248537590671255E-2</v>
      </c>
    </row>
    <row r="8" spans="1:4" x14ac:dyDescent="0.25">
      <c r="A8" s="18">
        <v>19</v>
      </c>
      <c r="B8" s="13">
        <v>640586657.35664999</v>
      </c>
      <c r="C8" s="13">
        <v>6502206.2265997045</v>
      </c>
      <c r="D8" s="20">
        <v>0.20078044921722987</v>
      </c>
    </row>
    <row r="9" spans="1:4" x14ac:dyDescent="0.25">
      <c r="A9" s="19" t="s">
        <v>21</v>
      </c>
      <c r="B9" s="13">
        <v>159695760</v>
      </c>
      <c r="C9" s="13">
        <v>2706707.7966101696</v>
      </c>
      <c r="D9" s="20">
        <v>5.0053784390696805E-2</v>
      </c>
    </row>
    <row r="10" spans="1:4" x14ac:dyDescent="0.25">
      <c r="A10" s="19" t="s">
        <v>15</v>
      </c>
      <c r="B10" s="13">
        <v>272762503.5</v>
      </c>
      <c r="C10" s="13">
        <v>2182100.0279999999</v>
      </c>
      <c r="D10" s="20">
        <v>8.54925361828998E-2</v>
      </c>
    </row>
    <row r="11" spans="1:4" x14ac:dyDescent="0.25">
      <c r="A11" s="19" t="s">
        <v>14</v>
      </c>
      <c r="B11" s="13">
        <v>208128393.85664999</v>
      </c>
      <c r="C11" s="13">
        <v>1613398.401989535</v>
      </c>
      <c r="D11" s="20">
        <v>6.5234128643633274E-2</v>
      </c>
    </row>
    <row r="12" spans="1:4" x14ac:dyDescent="0.25">
      <c r="A12" s="18">
        <v>20</v>
      </c>
      <c r="B12" s="13">
        <v>612344646.22395003</v>
      </c>
      <c r="C12" s="13">
        <v>6087068.392573256</v>
      </c>
      <c r="D12" s="20">
        <v>0.19192849512655255</v>
      </c>
    </row>
    <row r="13" spans="1:4" x14ac:dyDescent="0.25">
      <c r="A13" s="19" t="s">
        <v>21</v>
      </c>
      <c r="B13" s="13">
        <v>142825023</v>
      </c>
      <c r="C13" s="13">
        <v>2380417.0500000003</v>
      </c>
      <c r="D13" s="20">
        <v>4.4765953127611606E-2</v>
      </c>
    </row>
    <row r="14" spans="1:4" x14ac:dyDescent="0.25">
      <c r="A14" s="19" t="s">
        <v>15</v>
      </c>
      <c r="B14" s="13">
        <v>269949999</v>
      </c>
      <c r="C14" s="13">
        <v>2159599.9920000001</v>
      </c>
      <c r="D14" s="20">
        <v>8.461100686840288E-2</v>
      </c>
    </row>
    <row r="15" spans="1:4" x14ac:dyDescent="0.25">
      <c r="A15" s="19" t="s">
        <v>14</v>
      </c>
      <c r="B15" s="13">
        <v>199569624.22395</v>
      </c>
      <c r="C15" s="13">
        <v>1547051.3505732559</v>
      </c>
      <c r="D15" s="20">
        <v>6.2551535130538058E-2</v>
      </c>
    </row>
    <row r="16" spans="1:4" x14ac:dyDescent="0.25">
      <c r="A16" s="18">
        <v>21</v>
      </c>
      <c r="B16" s="13">
        <v>637660599.54659998</v>
      </c>
      <c r="C16" s="13">
        <v>6415636.2297041863</v>
      </c>
      <c r="D16" s="20">
        <v>0.19986332864534395</v>
      </c>
    </row>
    <row r="17" spans="1:4" x14ac:dyDescent="0.25">
      <c r="A17" s="19" t="s">
        <v>21</v>
      </c>
      <c r="B17" s="13">
        <v>157512358.5</v>
      </c>
      <c r="C17" s="13">
        <v>2625205.9750000001</v>
      </c>
      <c r="D17" s="20">
        <v>4.9369436178074731E-2</v>
      </c>
    </row>
    <row r="18" spans="1:4" x14ac:dyDescent="0.25">
      <c r="A18" s="19" t="s">
        <v>15</v>
      </c>
      <c r="B18" s="13">
        <v>275539431.56999999</v>
      </c>
      <c r="C18" s="13">
        <v>2204315.4525600001</v>
      </c>
      <c r="D18" s="20">
        <v>8.6362914700677931E-2</v>
      </c>
    </row>
    <row r="19" spans="1:4" x14ac:dyDescent="0.25">
      <c r="A19" s="19" t="s">
        <v>14</v>
      </c>
      <c r="B19" s="13">
        <v>204608809.47659999</v>
      </c>
      <c r="C19" s="13">
        <v>1586114.8021441861</v>
      </c>
      <c r="D19" s="20">
        <v>6.4130977766591282E-2</v>
      </c>
    </row>
    <row r="20" spans="1:4" x14ac:dyDescent="0.25">
      <c r="A20" s="18">
        <v>22</v>
      </c>
      <c r="B20" s="13">
        <v>669278192.75384998</v>
      </c>
      <c r="C20" s="13">
        <v>6725569.9444973171</v>
      </c>
      <c r="D20" s="20">
        <v>0.20977329866175798</v>
      </c>
    </row>
    <row r="21" spans="1:4" x14ac:dyDescent="0.25">
      <c r="A21" s="19" t="s">
        <v>21</v>
      </c>
      <c r="B21" s="13">
        <v>157857214.5</v>
      </c>
      <c r="C21" s="13">
        <v>2669744.9538135594</v>
      </c>
      <c r="D21" s="20">
        <v>4.9477525133409785E-2</v>
      </c>
    </row>
    <row r="22" spans="1:4" x14ac:dyDescent="0.25">
      <c r="A22" s="19" t="s">
        <v>15</v>
      </c>
      <c r="B22" s="13">
        <v>292155049.5</v>
      </c>
      <c r="C22" s="13">
        <v>2356089.1088709678</v>
      </c>
      <c r="D22" s="20">
        <v>9.1570783446763726E-2</v>
      </c>
    </row>
    <row r="23" spans="1:4" x14ac:dyDescent="0.25">
      <c r="A23" s="19" t="s">
        <v>14</v>
      </c>
      <c r="B23" s="13">
        <v>219265928.75384998</v>
      </c>
      <c r="C23" s="13">
        <v>1699735.8818127906</v>
      </c>
      <c r="D23" s="20">
        <v>6.8724990081584475E-2</v>
      </c>
    </row>
    <row r="24" spans="1:4" x14ac:dyDescent="0.25">
      <c r="A24" s="18">
        <v>23</v>
      </c>
      <c r="B24" s="13">
        <v>84493305.181349993</v>
      </c>
      <c r="C24" s="13">
        <v>849784.68521993328</v>
      </c>
      <c r="D24" s="20">
        <v>2.6482917768165151E-2</v>
      </c>
    </row>
    <row r="25" spans="1:4" x14ac:dyDescent="0.25">
      <c r="A25" s="19" t="s">
        <v>21</v>
      </c>
      <c r="B25" s="13">
        <v>19465372.5</v>
      </c>
      <c r="C25" s="13">
        <v>329921.56779661018</v>
      </c>
      <c r="D25" s="20">
        <v>6.1010734298743985E-3</v>
      </c>
    </row>
    <row r="26" spans="1:4" x14ac:dyDescent="0.25">
      <c r="A26" s="19" t="s">
        <v>15</v>
      </c>
      <c r="B26" s="13">
        <v>37257840.18135</v>
      </c>
      <c r="C26" s="13">
        <v>302909.26976707316</v>
      </c>
      <c r="D26" s="20">
        <v>1.1677804716295115E-2</v>
      </c>
    </row>
    <row r="27" spans="1:4" x14ac:dyDescent="0.25">
      <c r="A27" s="19" t="s">
        <v>14</v>
      </c>
      <c r="B27" s="13">
        <v>27770092.5</v>
      </c>
      <c r="C27" s="13">
        <v>216953.84765625</v>
      </c>
      <c r="D27" s="20">
        <v>8.7040396219956392E-3</v>
      </c>
    </row>
    <row r="28" spans="1:4" x14ac:dyDescent="0.25">
      <c r="A28" s="18" t="s">
        <v>29</v>
      </c>
      <c r="B28" s="13">
        <v>3190483236.0624003</v>
      </c>
      <c r="C28" s="13">
        <v>32133299.357996054</v>
      </c>
      <c r="D28" s="20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B2487-5921-45FF-887F-31E38C80524A}">
  <dimension ref="A1:I505"/>
  <sheetViews>
    <sheetView workbookViewId="0">
      <selection activeCell="L12" sqref="L12"/>
    </sheetView>
  </sheetViews>
  <sheetFormatPr defaultRowHeight="15" x14ac:dyDescent="0.25"/>
  <cols>
    <col min="1" max="1" width="14.28515625" bestFit="1" customWidth="1"/>
    <col min="2" max="2" width="22.85546875" bestFit="1" customWidth="1"/>
    <col min="3" max="3" width="22" bestFit="1" customWidth="1"/>
    <col min="4" max="4" width="21.42578125" bestFit="1" customWidth="1"/>
    <col min="5" max="5" width="23.140625" bestFit="1" customWidth="1"/>
    <col min="6" max="7" width="23.140625" customWidth="1"/>
    <col min="8" max="8" width="26.42578125" customWidth="1"/>
    <col min="9" max="9" width="27.5703125" customWidth="1"/>
  </cols>
  <sheetData>
    <row r="1" spans="1:9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3</v>
      </c>
      <c r="G1" t="s">
        <v>8</v>
      </c>
      <c r="H1" t="s">
        <v>7</v>
      </c>
      <c r="I1" s="16" t="s">
        <v>27</v>
      </c>
    </row>
    <row r="2" spans="1:9" x14ac:dyDescent="0.25">
      <c r="A2" s="12">
        <v>43949</v>
      </c>
      <c r="B2" s="13" t="s">
        <v>16</v>
      </c>
      <c r="C2">
        <v>36</v>
      </c>
      <c r="D2">
        <v>4923</v>
      </c>
      <c r="E2">
        <v>4560</v>
      </c>
      <c r="F2" s="14">
        <f>INDEX(Лист1!$D:$D,MATCH(I2,Лист1!$J:$J,0))</f>
        <v>6288246</v>
      </c>
      <c r="G2">
        <f>_xlfn.ISOWEEKNUM(Таблица2_2[[#This Row],[Дата]])</f>
        <v>18</v>
      </c>
      <c r="H2">
        <f>Таблица2_2[[#This Row],[Товарооборот, руб]]/Таблица2_2[[#This Row],[Количество складов]]</f>
        <v>174673.5</v>
      </c>
      <c r="I2" t="str">
        <f>--Таблица2_2[[#This Row],[Дата]]&amp;Таблица2_2[[#This Row],[Территория]]</f>
        <v>43949Волгоград</v>
      </c>
    </row>
    <row r="3" spans="1:9" x14ac:dyDescent="0.25">
      <c r="A3" s="12">
        <v>43949</v>
      </c>
      <c r="B3" s="13" t="s">
        <v>11</v>
      </c>
      <c r="C3">
        <v>31</v>
      </c>
      <c r="D3">
        <v>5465</v>
      </c>
      <c r="E3">
        <v>5096</v>
      </c>
      <c r="F3" s="14">
        <f>INDEX(Лист1!$D:$D,MATCH(I3,Лист1!$J:$J,0))</f>
        <v>7163644.5</v>
      </c>
      <c r="G3">
        <f>_xlfn.ISOWEEKNUM(Таблица2_2[[#This Row],[Дата]])</f>
        <v>18</v>
      </c>
      <c r="H3">
        <f>Таблица2_2[[#This Row],[Товарооборот, руб]]/Таблица2_2[[#This Row],[Количество складов]]</f>
        <v>231085.30645161291</v>
      </c>
      <c r="I3" t="str">
        <f>--Таблица2_2[[#This Row],[Дата]]&amp;Таблица2_2[[#This Row],[Территория]]</f>
        <v>43949Екатеринбург</v>
      </c>
    </row>
    <row r="4" spans="1:9" x14ac:dyDescent="0.25">
      <c r="A4" s="12">
        <v>43949</v>
      </c>
      <c r="B4" s="13" t="s">
        <v>17</v>
      </c>
      <c r="C4">
        <v>19</v>
      </c>
      <c r="D4">
        <v>1846</v>
      </c>
      <c r="E4">
        <v>1681</v>
      </c>
      <c r="F4" s="14">
        <f>INDEX(Лист1!$D:$D,MATCH(I4,Лист1!$J:$J,0))</f>
        <v>2863600.5</v>
      </c>
      <c r="G4">
        <f>_xlfn.ISOWEEKNUM(Таблица2_2[[#This Row],[Дата]])</f>
        <v>18</v>
      </c>
      <c r="H4">
        <f>Таблица2_2[[#This Row],[Товарооборот, руб]]/Таблица2_2[[#This Row],[Количество складов]]</f>
        <v>150715.81578947368</v>
      </c>
      <c r="I4" t="str">
        <f>--Таблица2_2[[#This Row],[Дата]]&amp;Таблица2_2[[#This Row],[Территория]]</f>
        <v>43949Казань</v>
      </c>
    </row>
    <row r="5" spans="1:9" x14ac:dyDescent="0.25">
      <c r="A5" s="12">
        <v>43949</v>
      </c>
      <c r="B5" s="13" t="s">
        <v>10</v>
      </c>
      <c r="C5">
        <v>18</v>
      </c>
      <c r="D5">
        <v>1539</v>
      </c>
      <c r="E5">
        <v>1404</v>
      </c>
      <c r="F5" s="14">
        <f>INDEX(Лист1!$D:$D,MATCH(I5,Лист1!$J:$J,0))</f>
        <v>2411587.5</v>
      </c>
      <c r="G5">
        <f>_xlfn.ISOWEEKNUM(Таблица2_2[[#This Row],[Дата]])</f>
        <v>18</v>
      </c>
      <c r="H5">
        <f>Таблица2_2[[#This Row],[Товарооборот, руб]]/Таблица2_2[[#This Row],[Количество складов]]</f>
        <v>133977.08333333334</v>
      </c>
      <c r="I5" t="str">
        <f>--Таблица2_2[[#This Row],[Дата]]&amp;Таблица2_2[[#This Row],[Территория]]</f>
        <v>43949Кемерово</v>
      </c>
    </row>
    <row r="6" spans="1:9" x14ac:dyDescent="0.25">
      <c r="A6" s="12">
        <v>43949</v>
      </c>
      <c r="B6" s="13" t="s">
        <v>20</v>
      </c>
      <c r="C6">
        <v>18</v>
      </c>
      <c r="D6">
        <v>1505</v>
      </c>
      <c r="E6">
        <v>1368</v>
      </c>
      <c r="F6" s="14">
        <f>INDEX(Лист1!$D:$D,MATCH(I6,Лист1!$J:$J,0))</f>
        <v>2277072</v>
      </c>
      <c r="G6">
        <f>_xlfn.ISOWEEKNUM(Таблица2_2[[#This Row],[Дата]])</f>
        <v>18</v>
      </c>
      <c r="H6">
        <f>Таблица2_2[[#This Row],[Товарооборот, руб]]/Таблица2_2[[#This Row],[Количество складов]]</f>
        <v>126504</v>
      </c>
      <c r="I6" t="str">
        <f>--Таблица2_2[[#This Row],[Дата]]&amp;Таблица2_2[[#This Row],[Территория]]</f>
        <v>43949Краснодар</v>
      </c>
    </row>
    <row r="7" spans="1:9" x14ac:dyDescent="0.25">
      <c r="A7" s="12">
        <v>43949</v>
      </c>
      <c r="B7" s="13" t="s">
        <v>22</v>
      </c>
      <c r="C7">
        <v>54</v>
      </c>
      <c r="D7">
        <v>12306</v>
      </c>
      <c r="E7">
        <v>11532</v>
      </c>
      <c r="F7" s="14">
        <f>INDEX(Лист1!$D:$D,MATCH(I7,Лист1!$J:$J,0))</f>
        <v>20003263.5</v>
      </c>
      <c r="G7">
        <f>_xlfn.ISOWEEKNUM(Таблица2_2[[#This Row],[Дата]])</f>
        <v>18</v>
      </c>
      <c r="H7">
        <f>Таблица2_2[[#This Row],[Товарооборот, руб]]/Таблица2_2[[#This Row],[Количество складов]]</f>
        <v>370430.80555555556</v>
      </c>
      <c r="I7" t="str">
        <f>--Таблица2_2[[#This Row],[Дата]]&amp;Таблица2_2[[#This Row],[Территория]]</f>
        <v>43949Москва Восток</v>
      </c>
    </row>
    <row r="8" spans="1:9" x14ac:dyDescent="0.25">
      <c r="A8" s="12">
        <v>43949</v>
      </c>
      <c r="B8" s="13" t="s">
        <v>21</v>
      </c>
      <c r="C8">
        <v>59</v>
      </c>
      <c r="D8">
        <v>12943</v>
      </c>
      <c r="E8">
        <v>12072</v>
      </c>
      <c r="F8" s="14">
        <f>INDEX(Лист1!$D:$D,MATCH(I8,Лист1!$J:$J,0))</f>
        <v>21114898.5</v>
      </c>
      <c r="G8">
        <f>_xlfn.ISOWEEKNUM(Таблица2_2[[#This Row],[Дата]])</f>
        <v>18</v>
      </c>
      <c r="H8">
        <f>Таблица2_2[[#This Row],[Товарооборот, руб]]/Таблица2_2[[#This Row],[Количество складов]]</f>
        <v>357879.63559322036</v>
      </c>
      <c r="I8" t="str">
        <f>--Таблица2_2[[#This Row],[Дата]]&amp;Таблица2_2[[#This Row],[Территория]]</f>
        <v>43949Москва Запад</v>
      </c>
    </row>
    <row r="9" spans="1:9" x14ac:dyDescent="0.25">
      <c r="A9" s="12">
        <v>43949</v>
      </c>
      <c r="B9" s="13" t="s">
        <v>13</v>
      </c>
      <c r="C9">
        <v>17</v>
      </c>
      <c r="D9">
        <v>1439</v>
      </c>
      <c r="E9">
        <v>1265</v>
      </c>
      <c r="F9" s="14">
        <f>INDEX(Лист1!$D:$D,MATCH(I9,Лист1!$J:$J,0))</f>
        <v>2136817.5</v>
      </c>
      <c r="G9">
        <f>_xlfn.ISOWEEKNUM(Таблица2_2[[#This Row],[Дата]])</f>
        <v>18</v>
      </c>
      <c r="H9">
        <f>Таблица2_2[[#This Row],[Товарооборот, руб]]/Таблица2_2[[#This Row],[Количество складов]]</f>
        <v>125695.14705882352</v>
      </c>
      <c r="I9" t="str">
        <f>--Таблица2_2[[#This Row],[Дата]]&amp;Таблица2_2[[#This Row],[Территория]]</f>
        <v>43949Нижний Новгород</v>
      </c>
    </row>
    <row r="10" spans="1:9" x14ac:dyDescent="0.25">
      <c r="A10" s="12">
        <v>43949</v>
      </c>
      <c r="B10" s="13" t="s">
        <v>23</v>
      </c>
      <c r="C10">
        <v>15</v>
      </c>
      <c r="D10">
        <v>636</v>
      </c>
      <c r="E10">
        <v>547</v>
      </c>
      <c r="F10" s="14">
        <f>INDEX(Лист1!$D:$D,MATCH(I10,Лист1!$J:$J,0))</f>
        <v>992541</v>
      </c>
      <c r="G10">
        <f>_xlfn.ISOWEEKNUM(Таблица2_2[[#This Row],[Дата]])</f>
        <v>18</v>
      </c>
      <c r="H10">
        <f>Таблица2_2[[#This Row],[Товарооборот, руб]]/Таблица2_2[[#This Row],[Количество складов]]</f>
        <v>66169.399999999994</v>
      </c>
      <c r="I10" t="str">
        <f>--Таблица2_2[[#This Row],[Дата]]&amp;Таблица2_2[[#This Row],[Территория]]</f>
        <v>43949Новосибирск</v>
      </c>
    </row>
    <row r="11" spans="1:9" x14ac:dyDescent="0.25">
      <c r="A11" s="12">
        <v>43949</v>
      </c>
      <c r="B11" s="13" t="s">
        <v>18</v>
      </c>
      <c r="C11">
        <v>15</v>
      </c>
      <c r="D11">
        <v>780</v>
      </c>
      <c r="E11">
        <v>690</v>
      </c>
      <c r="F11" s="14">
        <f>INDEX(Лист1!$D:$D,MATCH(I11,Лист1!$J:$J,0))</f>
        <v>1102887</v>
      </c>
      <c r="G11">
        <f>_xlfn.ISOWEEKNUM(Таблица2_2[[#This Row],[Дата]])</f>
        <v>18</v>
      </c>
      <c r="H11">
        <f>Таблица2_2[[#This Row],[Товарооборот, руб]]/Таблица2_2[[#This Row],[Количество складов]]</f>
        <v>73525.8</v>
      </c>
      <c r="I11" t="str">
        <f>--Таблица2_2[[#This Row],[Дата]]&amp;Таблица2_2[[#This Row],[Территория]]</f>
        <v>43949Пермь</v>
      </c>
    </row>
    <row r="12" spans="1:9" x14ac:dyDescent="0.25">
      <c r="A12" s="12">
        <v>43949</v>
      </c>
      <c r="B12" s="13" t="s">
        <v>15</v>
      </c>
      <c r="C12">
        <v>125</v>
      </c>
      <c r="D12">
        <v>20914</v>
      </c>
      <c r="E12">
        <v>19479</v>
      </c>
      <c r="F12" s="14">
        <f>INDEX(Лист1!$D:$D,MATCH(I12,Лист1!$J:$J,0))</f>
        <v>39918028.5</v>
      </c>
      <c r="G12">
        <f>_xlfn.ISOWEEKNUM(Таблица2_2[[#This Row],[Дата]])</f>
        <v>18</v>
      </c>
      <c r="H12">
        <f>Таблица2_2[[#This Row],[Товарооборот, руб]]/Таблица2_2[[#This Row],[Количество складов]]</f>
        <v>319344.228</v>
      </c>
      <c r="I12" t="str">
        <f>--Таблица2_2[[#This Row],[Дата]]&amp;Таблица2_2[[#This Row],[Территория]]</f>
        <v>43949Санкт-Петербург Север</v>
      </c>
    </row>
    <row r="13" spans="1:9" x14ac:dyDescent="0.25">
      <c r="A13" s="12">
        <v>43949</v>
      </c>
      <c r="B13" s="13" t="s">
        <v>14</v>
      </c>
      <c r="C13">
        <v>128</v>
      </c>
      <c r="D13">
        <v>16450</v>
      </c>
      <c r="E13">
        <v>15320</v>
      </c>
      <c r="F13" s="14">
        <f>INDEX(Лист1!$D:$D,MATCH(I13,Лист1!$J:$J,0))</f>
        <v>29159032.5</v>
      </c>
      <c r="G13">
        <f>_xlfn.ISOWEEKNUM(Таблица2_2[[#This Row],[Дата]])</f>
        <v>18</v>
      </c>
      <c r="H13">
        <f>Таблица2_2[[#This Row],[Товарооборот, руб]]/Таблица2_2[[#This Row],[Количество складов]]</f>
        <v>227804.94140625</v>
      </c>
      <c r="I13" t="str">
        <f>--Таблица2_2[[#This Row],[Дата]]&amp;Таблица2_2[[#This Row],[Территория]]</f>
        <v>43949Санкт-Петербург Юг</v>
      </c>
    </row>
    <row r="14" spans="1:9" x14ac:dyDescent="0.25">
      <c r="A14" s="12">
        <v>43949</v>
      </c>
      <c r="B14" s="13" t="s">
        <v>12</v>
      </c>
      <c r="C14">
        <v>10</v>
      </c>
      <c r="D14">
        <v>580</v>
      </c>
      <c r="E14">
        <v>506</v>
      </c>
      <c r="F14" s="14">
        <f>INDEX(Лист1!$D:$D,MATCH(I14,Лист1!$J:$J,0))</f>
        <v>869983.5</v>
      </c>
      <c r="G14">
        <f>_xlfn.ISOWEEKNUM(Таблица2_2[[#This Row],[Дата]])</f>
        <v>18</v>
      </c>
      <c r="H14">
        <f>Таблица2_2[[#This Row],[Товарооборот, руб]]/Таблица2_2[[#This Row],[Количество складов]]</f>
        <v>86998.35</v>
      </c>
      <c r="I14" t="str">
        <f>--Таблица2_2[[#This Row],[Дата]]&amp;Таблица2_2[[#This Row],[Территория]]</f>
        <v>43949Тольятти</v>
      </c>
    </row>
    <row r="15" spans="1:9" x14ac:dyDescent="0.25">
      <c r="A15" s="12">
        <v>43950</v>
      </c>
      <c r="B15" s="13" t="s">
        <v>16</v>
      </c>
      <c r="C15">
        <v>36</v>
      </c>
      <c r="D15">
        <v>4937</v>
      </c>
      <c r="E15">
        <v>4561</v>
      </c>
      <c r="F15" s="14">
        <f>INDEX(Лист1!$D:$D,MATCH(I15,Лист1!$J:$J,0))</f>
        <v>6454458</v>
      </c>
      <c r="G15">
        <f>_xlfn.ISOWEEKNUM(Таблица2_2[[#This Row],[Дата]])</f>
        <v>18</v>
      </c>
      <c r="H15">
        <f>Таблица2_2[[#This Row],[Товарооборот, руб]]/Таблица2_2[[#This Row],[Количество складов]]</f>
        <v>179290.5</v>
      </c>
      <c r="I15" t="str">
        <f>--Таблица2_2[[#This Row],[Дата]]&amp;Таблица2_2[[#This Row],[Территория]]</f>
        <v>43950Волгоград</v>
      </c>
    </row>
    <row r="16" spans="1:9" x14ac:dyDescent="0.25">
      <c r="A16" s="12">
        <v>43950</v>
      </c>
      <c r="B16" s="13" t="s">
        <v>11</v>
      </c>
      <c r="C16">
        <v>31</v>
      </c>
      <c r="D16">
        <v>5378</v>
      </c>
      <c r="E16">
        <v>4985</v>
      </c>
      <c r="F16" s="14">
        <f>INDEX(Лист1!$D:$D,MATCH(I16,Лист1!$J:$J,0))</f>
        <v>7180498.5</v>
      </c>
      <c r="G16">
        <f>_xlfn.ISOWEEKNUM(Таблица2_2[[#This Row],[Дата]])</f>
        <v>18</v>
      </c>
      <c r="H16">
        <f>Таблица2_2[[#This Row],[Товарооборот, руб]]/Таблица2_2[[#This Row],[Количество складов]]</f>
        <v>231628.98387096773</v>
      </c>
      <c r="I16" t="str">
        <f>--Таблица2_2[[#This Row],[Дата]]&amp;Таблица2_2[[#This Row],[Территория]]</f>
        <v>43950Екатеринбург</v>
      </c>
    </row>
    <row r="17" spans="1:9" x14ac:dyDescent="0.25">
      <c r="A17" s="12">
        <v>43950</v>
      </c>
      <c r="B17" s="13" t="s">
        <v>17</v>
      </c>
      <c r="C17">
        <v>19</v>
      </c>
      <c r="D17">
        <v>1676</v>
      </c>
      <c r="E17">
        <v>1516</v>
      </c>
      <c r="F17" s="14">
        <f>INDEX(Лист1!$D:$D,MATCH(I17,Лист1!$J:$J,0))</f>
        <v>2627595</v>
      </c>
      <c r="G17">
        <f>_xlfn.ISOWEEKNUM(Таблица2_2[[#This Row],[Дата]])</f>
        <v>18</v>
      </c>
      <c r="H17">
        <f>Таблица2_2[[#This Row],[Товарооборот, руб]]/Таблица2_2[[#This Row],[Количество складов]]</f>
        <v>138294.47368421053</v>
      </c>
      <c r="I17" t="str">
        <f>--Таблица2_2[[#This Row],[Дата]]&amp;Таблица2_2[[#This Row],[Территория]]</f>
        <v>43950Казань</v>
      </c>
    </row>
    <row r="18" spans="1:9" x14ac:dyDescent="0.25">
      <c r="A18" s="12">
        <v>43950</v>
      </c>
      <c r="B18" s="13" t="s">
        <v>10</v>
      </c>
      <c r="C18">
        <v>18</v>
      </c>
      <c r="D18">
        <v>1684</v>
      </c>
      <c r="E18">
        <v>1528</v>
      </c>
      <c r="F18" s="14">
        <f>INDEX(Лист1!$D:$D,MATCH(I18,Лист1!$J:$J,0))</f>
        <v>2623480.5</v>
      </c>
      <c r="G18">
        <f>_xlfn.ISOWEEKNUM(Таблица2_2[[#This Row],[Дата]])</f>
        <v>18</v>
      </c>
      <c r="H18">
        <f>Таблица2_2[[#This Row],[Товарооборот, руб]]/Таблица2_2[[#This Row],[Количество складов]]</f>
        <v>145748.91666666666</v>
      </c>
      <c r="I18" t="str">
        <f>--Таблица2_2[[#This Row],[Дата]]&amp;Таблица2_2[[#This Row],[Территория]]</f>
        <v>43950Кемерово</v>
      </c>
    </row>
    <row r="19" spans="1:9" x14ac:dyDescent="0.25">
      <c r="A19" s="12">
        <v>43950</v>
      </c>
      <c r="B19" s="13" t="s">
        <v>20</v>
      </c>
      <c r="C19">
        <v>18</v>
      </c>
      <c r="D19">
        <v>1599</v>
      </c>
      <c r="E19">
        <v>1450</v>
      </c>
      <c r="F19" s="14">
        <f>INDEX(Лист1!$D:$D,MATCH(I19,Лист1!$J:$J,0))</f>
        <v>2360914.5</v>
      </c>
      <c r="G19">
        <f>_xlfn.ISOWEEKNUM(Таблица2_2[[#This Row],[Дата]])</f>
        <v>18</v>
      </c>
      <c r="H19">
        <f>Таблица2_2[[#This Row],[Товарооборот, руб]]/Таблица2_2[[#This Row],[Количество складов]]</f>
        <v>131161.91666666666</v>
      </c>
      <c r="I19" t="str">
        <f>--Таблица2_2[[#This Row],[Дата]]&amp;Таблица2_2[[#This Row],[Территория]]</f>
        <v>43950Краснодар</v>
      </c>
    </row>
    <row r="20" spans="1:9" x14ac:dyDescent="0.25">
      <c r="A20" s="12">
        <v>43950</v>
      </c>
      <c r="B20" s="13" t="s">
        <v>22</v>
      </c>
      <c r="C20">
        <v>54</v>
      </c>
      <c r="D20">
        <v>12747</v>
      </c>
      <c r="E20">
        <v>11884</v>
      </c>
      <c r="F20" s="14">
        <f>INDEX(Лист1!$D:$D,MATCH(I20,Лист1!$J:$J,0))</f>
        <v>20871391.5</v>
      </c>
      <c r="G20">
        <f>_xlfn.ISOWEEKNUM(Таблица2_2[[#This Row],[Дата]])</f>
        <v>18</v>
      </c>
      <c r="H20">
        <f>Таблица2_2[[#This Row],[Товарооборот, руб]]/Таблица2_2[[#This Row],[Количество складов]]</f>
        <v>386507.25</v>
      </c>
      <c r="I20" t="str">
        <f>--Таблица2_2[[#This Row],[Дата]]&amp;Таблица2_2[[#This Row],[Территория]]</f>
        <v>43950Москва Восток</v>
      </c>
    </row>
    <row r="21" spans="1:9" x14ac:dyDescent="0.25">
      <c r="A21" s="12">
        <v>43950</v>
      </c>
      <c r="B21" s="13" t="s">
        <v>21</v>
      </c>
      <c r="C21">
        <v>59</v>
      </c>
      <c r="D21">
        <v>13186</v>
      </c>
      <c r="E21">
        <v>12251</v>
      </c>
      <c r="F21" s="14">
        <f>INDEX(Лист1!$D:$D,MATCH(I21,Лист1!$J:$J,0))</f>
        <v>21615333</v>
      </c>
      <c r="G21">
        <f>_xlfn.ISOWEEKNUM(Таблица2_2[[#This Row],[Дата]])</f>
        <v>18</v>
      </c>
      <c r="H21">
        <f>Таблица2_2[[#This Row],[Товарооборот, руб]]/Таблица2_2[[#This Row],[Количество складов]]</f>
        <v>366361.57627118647</v>
      </c>
      <c r="I21" t="str">
        <f>--Таблица2_2[[#This Row],[Дата]]&amp;Таблица2_2[[#This Row],[Территория]]</f>
        <v>43950Москва Запад</v>
      </c>
    </row>
    <row r="22" spans="1:9" x14ac:dyDescent="0.25">
      <c r="A22" s="12">
        <v>43950</v>
      </c>
      <c r="B22" s="13" t="s">
        <v>13</v>
      </c>
      <c r="C22">
        <v>18</v>
      </c>
      <c r="D22">
        <v>1534</v>
      </c>
      <c r="E22">
        <v>1369</v>
      </c>
      <c r="F22" s="14">
        <f>INDEX(Лист1!$D:$D,MATCH(I22,Лист1!$J:$J,0))</f>
        <v>2397588</v>
      </c>
      <c r="G22">
        <f>_xlfn.ISOWEEKNUM(Таблица2_2[[#This Row],[Дата]])</f>
        <v>18</v>
      </c>
      <c r="H22">
        <f>Таблица2_2[[#This Row],[Товарооборот, руб]]/Таблица2_2[[#This Row],[Количество складов]]</f>
        <v>133199.33333333334</v>
      </c>
      <c r="I22" t="str">
        <f>--Таблица2_2[[#This Row],[Дата]]&amp;Таблица2_2[[#This Row],[Территория]]</f>
        <v>43950Нижний Новгород</v>
      </c>
    </row>
    <row r="23" spans="1:9" x14ac:dyDescent="0.25">
      <c r="A23" s="12">
        <v>43950</v>
      </c>
      <c r="B23" s="13" t="s">
        <v>23</v>
      </c>
      <c r="C23">
        <v>15</v>
      </c>
      <c r="D23">
        <v>659</v>
      </c>
      <c r="E23">
        <v>575</v>
      </c>
      <c r="F23" s="14">
        <f>INDEX(Лист1!$D:$D,MATCH(I23,Лист1!$J:$J,0))</f>
        <v>981519</v>
      </c>
      <c r="G23">
        <f>_xlfn.ISOWEEKNUM(Таблица2_2[[#This Row],[Дата]])</f>
        <v>18</v>
      </c>
      <c r="H23">
        <f>Таблица2_2[[#This Row],[Товарооборот, руб]]/Таблица2_2[[#This Row],[Количество складов]]</f>
        <v>65434.6</v>
      </c>
      <c r="I23" t="str">
        <f>--Таблица2_2[[#This Row],[Дата]]&amp;Таблица2_2[[#This Row],[Территория]]</f>
        <v>43950Новосибирск</v>
      </c>
    </row>
    <row r="24" spans="1:9" x14ac:dyDescent="0.25">
      <c r="A24" s="12">
        <v>43950</v>
      </c>
      <c r="B24" s="13" t="s">
        <v>18</v>
      </c>
      <c r="C24">
        <v>15</v>
      </c>
      <c r="D24">
        <v>786</v>
      </c>
      <c r="E24">
        <v>695</v>
      </c>
      <c r="F24" s="14">
        <f>INDEX(Лист1!$D:$D,MATCH(I24,Лист1!$J:$J,0))</f>
        <v>1115992.5</v>
      </c>
      <c r="G24">
        <f>_xlfn.ISOWEEKNUM(Таблица2_2[[#This Row],[Дата]])</f>
        <v>18</v>
      </c>
      <c r="H24">
        <f>Таблица2_2[[#This Row],[Товарооборот, руб]]/Таблица2_2[[#This Row],[Количество складов]]</f>
        <v>74399.5</v>
      </c>
      <c r="I24" t="str">
        <f>--Таблица2_2[[#This Row],[Дата]]&amp;Таблица2_2[[#This Row],[Территория]]</f>
        <v>43950Пермь</v>
      </c>
    </row>
    <row r="25" spans="1:9" x14ac:dyDescent="0.25">
      <c r="A25" s="12">
        <v>43950</v>
      </c>
      <c r="B25" s="13" t="s">
        <v>15</v>
      </c>
      <c r="C25">
        <v>125</v>
      </c>
      <c r="D25">
        <v>21863</v>
      </c>
      <c r="E25">
        <v>20160</v>
      </c>
      <c r="F25" s="14">
        <f>INDEX(Лист1!$D:$D,MATCH(I25,Лист1!$J:$J,0))</f>
        <v>41559384</v>
      </c>
      <c r="G25">
        <f>_xlfn.ISOWEEKNUM(Таблица2_2[[#This Row],[Дата]])</f>
        <v>18</v>
      </c>
      <c r="H25">
        <f>Таблица2_2[[#This Row],[Товарооборот, руб]]/Таблица2_2[[#This Row],[Количество складов]]</f>
        <v>332475.07199999999</v>
      </c>
      <c r="I25" t="str">
        <f>--Таблица2_2[[#This Row],[Дата]]&amp;Таблица2_2[[#This Row],[Территория]]</f>
        <v>43950Санкт-Петербург Север</v>
      </c>
    </row>
    <row r="26" spans="1:9" x14ac:dyDescent="0.25">
      <c r="A26" s="12">
        <v>43950</v>
      </c>
      <c r="B26" s="13" t="s">
        <v>14</v>
      </c>
      <c r="C26">
        <v>128</v>
      </c>
      <c r="D26">
        <v>17368</v>
      </c>
      <c r="E26">
        <v>16077</v>
      </c>
      <c r="F26" s="14">
        <f>INDEX(Лист1!$D:$D,MATCH(I26,Лист1!$J:$J,0))</f>
        <v>30869287.5</v>
      </c>
      <c r="G26">
        <f>_xlfn.ISOWEEKNUM(Таблица2_2[[#This Row],[Дата]])</f>
        <v>18</v>
      </c>
      <c r="H26">
        <f>Таблица2_2[[#This Row],[Товарооборот, руб]]/Таблица2_2[[#This Row],[Количество складов]]</f>
        <v>241166.30859375</v>
      </c>
      <c r="I26" t="str">
        <f>--Таблица2_2[[#This Row],[Дата]]&amp;Таблица2_2[[#This Row],[Территория]]</f>
        <v>43950Санкт-Петербург Юг</v>
      </c>
    </row>
    <row r="27" spans="1:9" x14ac:dyDescent="0.25">
      <c r="A27" s="12">
        <v>43950</v>
      </c>
      <c r="B27" s="13" t="s">
        <v>12</v>
      </c>
      <c r="C27">
        <v>10</v>
      </c>
      <c r="D27">
        <v>502</v>
      </c>
      <c r="E27">
        <v>433</v>
      </c>
      <c r="F27" s="14">
        <f>INDEX(Лист1!$D:$D,MATCH(I27,Лист1!$J:$J,0))</f>
        <v>797919</v>
      </c>
      <c r="G27">
        <f>_xlfn.ISOWEEKNUM(Таблица2_2[[#This Row],[Дата]])</f>
        <v>18</v>
      </c>
      <c r="H27">
        <f>Таблица2_2[[#This Row],[Товарооборот, руб]]/Таблица2_2[[#This Row],[Количество складов]]</f>
        <v>79791.899999999994</v>
      </c>
      <c r="I27" t="str">
        <f>--Таблица2_2[[#This Row],[Дата]]&amp;Таблица2_2[[#This Row],[Территория]]</f>
        <v>43950Тольятти</v>
      </c>
    </row>
    <row r="28" spans="1:9" x14ac:dyDescent="0.25">
      <c r="A28" s="12">
        <v>43951</v>
      </c>
      <c r="B28" s="13" t="s">
        <v>16</v>
      </c>
      <c r="C28">
        <v>36</v>
      </c>
      <c r="D28">
        <v>5143</v>
      </c>
      <c r="E28">
        <v>4715</v>
      </c>
      <c r="F28" s="14">
        <f>INDEX(Лист1!$D:$D,MATCH(I28,Лист1!$J:$J,0))</f>
        <v>6819594</v>
      </c>
      <c r="G28">
        <f>_xlfn.ISOWEEKNUM(Таблица2_2[[#This Row],[Дата]])</f>
        <v>18</v>
      </c>
      <c r="H28">
        <f>Таблица2_2[[#This Row],[Товарооборот, руб]]/Таблица2_2[[#This Row],[Количество складов]]</f>
        <v>189433.16666666666</v>
      </c>
      <c r="I28" t="str">
        <f>--Таблица2_2[[#This Row],[Дата]]&amp;Таблица2_2[[#This Row],[Территория]]</f>
        <v>43951Волгоград</v>
      </c>
    </row>
    <row r="29" spans="1:9" x14ac:dyDescent="0.25">
      <c r="A29" s="12">
        <v>43951</v>
      </c>
      <c r="B29" s="13" t="s">
        <v>11</v>
      </c>
      <c r="C29">
        <v>31</v>
      </c>
      <c r="D29">
        <v>5120</v>
      </c>
      <c r="E29">
        <v>4737</v>
      </c>
      <c r="F29" s="14">
        <f>INDEX(Лист1!$D:$D,MATCH(I29,Лист1!$J:$J,0))</f>
        <v>7023727.5</v>
      </c>
      <c r="G29">
        <f>_xlfn.ISOWEEKNUM(Таблица2_2[[#This Row],[Дата]])</f>
        <v>18</v>
      </c>
      <c r="H29">
        <f>Таблица2_2[[#This Row],[Товарооборот, руб]]/Таблица2_2[[#This Row],[Количество складов]]</f>
        <v>226571.85483870967</v>
      </c>
      <c r="I29" t="str">
        <f>--Таблица2_2[[#This Row],[Дата]]&amp;Таблица2_2[[#This Row],[Территория]]</f>
        <v>43951Екатеринбург</v>
      </c>
    </row>
    <row r="30" spans="1:9" x14ac:dyDescent="0.25">
      <c r="A30" s="12">
        <v>43951</v>
      </c>
      <c r="B30" s="13" t="s">
        <v>17</v>
      </c>
      <c r="C30">
        <v>20</v>
      </c>
      <c r="D30">
        <v>1756</v>
      </c>
      <c r="E30">
        <v>1586</v>
      </c>
      <c r="F30" s="14">
        <f>INDEX(Лист1!$D:$D,MATCH(I30,Лист1!$J:$J,0))</f>
        <v>2853310.5</v>
      </c>
      <c r="G30">
        <f>_xlfn.ISOWEEKNUM(Таблица2_2[[#This Row],[Дата]])</f>
        <v>18</v>
      </c>
      <c r="H30">
        <f>Таблица2_2[[#This Row],[Товарооборот, руб]]/Таблица2_2[[#This Row],[Количество складов]]</f>
        <v>142665.52499999999</v>
      </c>
      <c r="I30" t="str">
        <f>--Таблица2_2[[#This Row],[Дата]]&amp;Таблица2_2[[#This Row],[Территория]]</f>
        <v>43951Казань</v>
      </c>
    </row>
    <row r="31" spans="1:9" x14ac:dyDescent="0.25">
      <c r="A31" s="12">
        <v>43951</v>
      </c>
      <c r="B31" s="13" t="s">
        <v>10</v>
      </c>
      <c r="C31">
        <v>19</v>
      </c>
      <c r="D31">
        <v>1712</v>
      </c>
      <c r="E31">
        <v>1552</v>
      </c>
      <c r="F31" s="14">
        <f>INDEX(Лист1!$D:$D,MATCH(I31,Лист1!$J:$J,0))</f>
        <v>2817196.5</v>
      </c>
      <c r="G31">
        <f>_xlfn.ISOWEEKNUM(Таблица2_2[[#This Row],[Дата]])</f>
        <v>18</v>
      </c>
      <c r="H31">
        <f>Таблица2_2[[#This Row],[Товарооборот, руб]]/Таблица2_2[[#This Row],[Количество складов]]</f>
        <v>148273.5</v>
      </c>
      <c r="I31" t="str">
        <f>--Таблица2_2[[#This Row],[Дата]]&amp;Таблица2_2[[#This Row],[Территория]]</f>
        <v>43951Кемерово</v>
      </c>
    </row>
    <row r="32" spans="1:9" x14ac:dyDescent="0.25">
      <c r="A32" s="12">
        <v>43951</v>
      </c>
      <c r="B32" s="13" t="s">
        <v>20</v>
      </c>
      <c r="C32">
        <v>19</v>
      </c>
      <c r="D32">
        <v>1662</v>
      </c>
      <c r="E32">
        <v>1506</v>
      </c>
      <c r="F32" s="14">
        <f>INDEX(Лист1!$D:$D,MATCH(I32,Лист1!$J:$J,0))</f>
        <v>2560080</v>
      </c>
      <c r="G32">
        <f>_xlfn.ISOWEEKNUM(Таблица2_2[[#This Row],[Дата]])</f>
        <v>18</v>
      </c>
      <c r="H32">
        <f>Таблица2_2[[#This Row],[Товарооборот, руб]]/Таблица2_2[[#This Row],[Количество складов]]</f>
        <v>134741.05263157896</v>
      </c>
      <c r="I32" t="str">
        <f>--Таблица2_2[[#This Row],[Дата]]&amp;Таблица2_2[[#This Row],[Территория]]</f>
        <v>43951Краснодар</v>
      </c>
    </row>
    <row r="33" spans="1:9" x14ac:dyDescent="0.25">
      <c r="A33" s="12">
        <v>43951</v>
      </c>
      <c r="B33" s="13" t="s">
        <v>22</v>
      </c>
      <c r="C33">
        <v>54</v>
      </c>
      <c r="D33">
        <v>12817</v>
      </c>
      <c r="E33">
        <v>11865</v>
      </c>
      <c r="F33" s="14">
        <f>INDEX(Лист1!$D:$D,MATCH(I33,Лист1!$J:$J,0))</f>
        <v>21740460</v>
      </c>
      <c r="G33">
        <f>_xlfn.ISOWEEKNUM(Таблица2_2[[#This Row],[Дата]])</f>
        <v>18</v>
      </c>
      <c r="H33">
        <f>Таблица2_2[[#This Row],[Товарооборот, руб]]/Таблица2_2[[#This Row],[Количество складов]]</f>
        <v>402601.11111111112</v>
      </c>
      <c r="I33" t="str">
        <f>--Таблица2_2[[#This Row],[Дата]]&amp;Таблица2_2[[#This Row],[Территория]]</f>
        <v>43951Москва Восток</v>
      </c>
    </row>
    <row r="34" spans="1:9" x14ac:dyDescent="0.25">
      <c r="A34" s="12">
        <v>43951</v>
      </c>
      <c r="B34" s="13" t="s">
        <v>21</v>
      </c>
      <c r="C34">
        <v>59</v>
      </c>
      <c r="D34">
        <v>13251</v>
      </c>
      <c r="E34">
        <v>12255</v>
      </c>
      <c r="F34" s="14">
        <f>INDEX(Лист1!$D:$D,MATCH(I34,Лист1!$J:$J,0))</f>
        <v>22530000</v>
      </c>
      <c r="G34">
        <f>_xlfn.ISOWEEKNUM(Таблица2_2[[#This Row],[Дата]])</f>
        <v>18</v>
      </c>
      <c r="H34">
        <f>Таблица2_2[[#This Row],[Товарооборот, руб]]/Таблица2_2[[#This Row],[Количество складов]]</f>
        <v>381864.40677966102</v>
      </c>
      <c r="I34" t="str">
        <f>--Таблица2_2[[#This Row],[Дата]]&amp;Таблица2_2[[#This Row],[Территория]]</f>
        <v>43951Москва Запад</v>
      </c>
    </row>
    <row r="35" spans="1:9" x14ac:dyDescent="0.25">
      <c r="A35" s="12">
        <v>43951</v>
      </c>
      <c r="B35" s="13" t="s">
        <v>13</v>
      </c>
      <c r="C35">
        <v>19</v>
      </c>
      <c r="D35">
        <v>1499</v>
      </c>
      <c r="E35">
        <v>1322</v>
      </c>
      <c r="F35" s="14">
        <f>INDEX(Лист1!$D:$D,MATCH(I35,Лист1!$J:$J,0))</f>
        <v>2267664</v>
      </c>
      <c r="G35">
        <f>_xlfn.ISOWEEKNUM(Таблица2_2[[#This Row],[Дата]])</f>
        <v>18</v>
      </c>
      <c r="H35">
        <f>Таблица2_2[[#This Row],[Товарооборот, руб]]/Таблица2_2[[#This Row],[Количество складов]]</f>
        <v>119350.73684210527</v>
      </c>
      <c r="I35" t="str">
        <f>--Таблица2_2[[#This Row],[Дата]]&amp;Таблица2_2[[#This Row],[Территория]]</f>
        <v>43951Нижний Новгород</v>
      </c>
    </row>
    <row r="36" spans="1:9" x14ac:dyDescent="0.25">
      <c r="A36" s="12">
        <v>43951</v>
      </c>
      <c r="B36" s="13" t="s">
        <v>23</v>
      </c>
      <c r="C36">
        <v>15</v>
      </c>
      <c r="D36">
        <v>644</v>
      </c>
      <c r="E36">
        <v>550</v>
      </c>
      <c r="F36" s="14">
        <f>INDEX(Лист1!$D:$D,MATCH(I36,Лист1!$J:$J,0))</f>
        <v>1004511</v>
      </c>
      <c r="G36">
        <f>_xlfn.ISOWEEKNUM(Таблица2_2[[#This Row],[Дата]])</f>
        <v>18</v>
      </c>
      <c r="H36">
        <f>Таблица2_2[[#This Row],[Товарооборот, руб]]/Таблица2_2[[#This Row],[Количество складов]]</f>
        <v>66967.399999999994</v>
      </c>
      <c r="I36" t="str">
        <f>--Таблица2_2[[#This Row],[Дата]]&amp;Таблица2_2[[#This Row],[Территория]]</f>
        <v>43951Новосибирск</v>
      </c>
    </row>
    <row r="37" spans="1:9" x14ac:dyDescent="0.25">
      <c r="A37" s="12">
        <v>43951</v>
      </c>
      <c r="B37" s="13" t="s">
        <v>18</v>
      </c>
      <c r="C37">
        <v>15</v>
      </c>
      <c r="D37">
        <v>791</v>
      </c>
      <c r="E37">
        <v>691</v>
      </c>
      <c r="F37" s="14">
        <f>INDEX(Лист1!$D:$D,MATCH(I37,Лист1!$J:$J,0))</f>
        <v>1103068.5</v>
      </c>
      <c r="G37">
        <f>_xlfn.ISOWEEKNUM(Таблица2_2[[#This Row],[Дата]])</f>
        <v>18</v>
      </c>
      <c r="H37">
        <f>Таблица2_2[[#This Row],[Товарооборот, руб]]/Таблица2_2[[#This Row],[Количество складов]]</f>
        <v>73537.899999999994</v>
      </c>
      <c r="I37" t="str">
        <f>--Таблица2_2[[#This Row],[Дата]]&amp;Таблица2_2[[#This Row],[Территория]]</f>
        <v>43951Пермь</v>
      </c>
    </row>
    <row r="38" spans="1:9" x14ac:dyDescent="0.25">
      <c r="A38" s="12">
        <v>43951</v>
      </c>
      <c r="B38" s="13" t="s">
        <v>19</v>
      </c>
      <c r="C38">
        <v>15</v>
      </c>
      <c r="D38">
        <v>262</v>
      </c>
      <c r="E38">
        <v>195</v>
      </c>
      <c r="F38" s="14">
        <f>INDEX(Лист1!$D:$D,MATCH(I38,Лист1!$J:$J,0))</f>
        <v>404691</v>
      </c>
      <c r="G38">
        <f>_xlfn.ISOWEEKNUM(Таблица2_2[[#This Row],[Дата]])</f>
        <v>18</v>
      </c>
      <c r="H38">
        <f>Таблица2_2[[#This Row],[Товарооборот, руб]]/Таблица2_2[[#This Row],[Количество складов]]</f>
        <v>26979.4</v>
      </c>
      <c r="I38" t="str">
        <f>--Таблица2_2[[#This Row],[Дата]]&amp;Таблица2_2[[#This Row],[Территория]]</f>
        <v>43951Ростов-на-Дону</v>
      </c>
    </row>
    <row r="39" spans="1:9" x14ac:dyDescent="0.25">
      <c r="A39" s="12">
        <v>43951</v>
      </c>
      <c r="B39" s="13" t="s">
        <v>15</v>
      </c>
      <c r="C39">
        <v>125</v>
      </c>
      <c r="D39">
        <v>22368</v>
      </c>
      <c r="E39">
        <v>20625</v>
      </c>
      <c r="F39" s="14">
        <f>INDEX(Лист1!$D:$D,MATCH(I39,Лист1!$J:$J,0))</f>
        <v>43028734.5</v>
      </c>
      <c r="G39">
        <f>_xlfn.ISOWEEKNUM(Таблица2_2[[#This Row],[Дата]])</f>
        <v>18</v>
      </c>
      <c r="H39">
        <f>Таблица2_2[[#This Row],[Товарооборот, руб]]/Таблица2_2[[#This Row],[Количество складов]]</f>
        <v>344229.87599999999</v>
      </c>
      <c r="I39" t="str">
        <f>--Таблица2_2[[#This Row],[Дата]]&amp;Таблица2_2[[#This Row],[Территория]]</f>
        <v>43951Санкт-Петербург Север</v>
      </c>
    </row>
    <row r="40" spans="1:9" x14ac:dyDescent="0.25">
      <c r="A40" s="12">
        <v>43951</v>
      </c>
      <c r="B40" s="13" t="s">
        <v>14</v>
      </c>
      <c r="C40">
        <v>129</v>
      </c>
      <c r="D40">
        <v>18042</v>
      </c>
      <c r="E40">
        <v>16631</v>
      </c>
      <c r="F40" s="14">
        <f>INDEX(Лист1!$D:$D,MATCH(I40,Лист1!$J:$J,0))</f>
        <v>32418879</v>
      </c>
      <c r="G40">
        <f>_xlfn.ISOWEEKNUM(Таблица2_2[[#This Row],[Дата]])</f>
        <v>18</v>
      </c>
      <c r="H40">
        <f>Таблица2_2[[#This Row],[Товарооборот, руб]]/Таблица2_2[[#This Row],[Количество складов]]</f>
        <v>251309.13953488372</v>
      </c>
      <c r="I40" t="str">
        <f>--Таблица2_2[[#This Row],[Дата]]&amp;Таблица2_2[[#This Row],[Территория]]</f>
        <v>43951Санкт-Петербург Юг</v>
      </c>
    </row>
    <row r="41" spans="1:9" x14ac:dyDescent="0.25">
      <c r="A41" s="12">
        <v>43951</v>
      </c>
      <c r="B41" s="13" t="s">
        <v>12</v>
      </c>
      <c r="C41">
        <v>10</v>
      </c>
      <c r="D41">
        <v>448</v>
      </c>
      <c r="E41">
        <v>376</v>
      </c>
      <c r="F41" s="14">
        <f>INDEX(Лист1!$D:$D,MATCH(I41,Лист1!$J:$J,0))</f>
        <v>716196</v>
      </c>
      <c r="G41">
        <f>_xlfn.ISOWEEKNUM(Таблица2_2[[#This Row],[Дата]])</f>
        <v>18</v>
      </c>
      <c r="H41">
        <f>Таблица2_2[[#This Row],[Товарооборот, руб]]/Таблица2_2[[#This Row],[Количество складов]]</f>
        <v>71619.600000000006</v>
      </c>
      <c r="I41" t="str">
        <f>--Таблица2_2[[#This Row],[Дата]]&amp;Таблица2_2[[#This Row],[Территория]]</f>
        <v>43951Тольятти</v>
      </c>
    </row>
    <row r="42" spans="1:9" x14ac:dyDescent="0.25">
      <c r="A42" s="12">
        <v>43952</v>
      </c>
      <c r="B42" s="13" t="s">
        <v>16</v>
      </c>
      <c r="C42">
        <v>36</v>
      </c>
      <c r="D42">
        <v>5457</v>
      </c>
      <c r="E42">
        <v>4916</v>
      </c>
      <c r="F42" s="14">
        <f>INDEX(Лист1!$D:$D,MATCH(I42,Лист1!$J:$J,0))</f>
        <v>7032225</v>
      </c>
      <c r="G42">
        <f>_xlfn.ISOWEEKNUM(Таблица2_2[[#This Row],[Дата]])</f>
        <v>18</v>
      </c>
      <c r="H42">
        <f>Таблица2_2[[#This Row],[Товарооборот, руб]]/Таблица2_2[[#This Row],[Количество складов]]</f>
        <v>195339.58333333334</v>
      </c>
      <c r="I42" t="str">
        <f>--Таблица2_2[[#This Row],[Дата]]&amp;Таблица2_2[[#This Row],[Территория]]</f>
        <v>43952Волгоград</v>
      </c>
    </row>
    <row r="43" spans="1:9" x14ac:dyDescent="0.25">
      <c r="A43" s="12">
        <v>43952</v>
      </c>
      <c r="B43" s="13" t="s">
        <v>11</v>
      </c>
      <c r="C43">
        <v>31</v>
      </c>
      <c r="D43">
        <v>6118</v>
      </c>
      <c r="E43">
        <v>5564</v>
      </c>
      <c r="F43" s="14">
        <f>INDEX(Лист1!$D:$D,MATCH(I43,Лист1!$J:$J,0))</f>
        <v>8893024.5</v>
      </c>
      <c r="G43">
        <f>_xlfn.ISOWEEKNUM(Таблица2_2[[#This Row],[Дата]])</f>
        <v>18</v>
      </c>
      <c r="H43">
        <f>Таблица2_2[[#This Row],[Товарооборот, руб]]/Таблица2_2[[#This Row],[Количество складов]]</f>
        <v>286871.75806451612</v>
      </c>
      <c r="I43" t="str">
        <f>--Таблица2_2[[#This Row],[Дата]]&amp;Таблица2_2[[#This Row],[Территория]]</f>
        <v>43952Екатеринбург</v>
      </c>
    </row>
    <row r="44" spans="1:9" x14ac:dyDescent="0.25">
      <c r="A44" s="12">
        <v>43952</v>
      </c>
      <c r="B44" s="13" t="s">
        <v>17</v>
      </c>
      <c r="C44">
        <v>20</v>
      </c>
      <c r="D44">
        <v>2468</v>
      </c>
      <c r="E44">
        <v>2221</v>
      </c>
      <c r="F44" s="14">
        <f>INDEX(Лист1!$D:$D,MATCH(I44,Лист1!$J:$J,0))</f>
        <v>4293241.5</v>
      </c>
      <c r="G44">
        <f>_xlfn.ISOWEEKNUM(Таблица2_2[[#This Row],[Дата]])</f>
        <v>18</v>
      </c>
      <c r="H44">
        <f>Таблица2_2[[#This Row],[Товарооборот, руб]]/Таблица2_2[[#This Row],[Количество складов]]</f>
        <v>214662.07500000001</v>
      </c>
      <c r="I44" t="str">
        <f>--Таблица2_2[[#This Row],[Дата]]&amp;Таблица2_2[[#This Row],[Территория]]</f>
        <v>43952Казань</v>
      </c>
    </row>
    <row r="45" spans="1:9" x14ac:dyDescent="0.25">
      <c r="A45" s="12">
        <v>43952</v>
      </c>
      <c r="B45" s="13" t="s">
        <v>10</v>
      </c>
      <c r="C45">
        <v>18</v>
      </c>
      <c r="D45">
        <v>1826</v>
      </c>
      <c r="E45">
        <v>1633</v>
      </c>
      <c r="F45" s="14">
        <f>INDEX(Лист1!$D:$D,MATCH(I45,Лист1!$J:$J,0))</f>
        <v>3031254</v>
      </c>
      <c r="G45">
        <f>_xlfn.ISOWEEKNUM(Таблица2_2[[#This Row],[Дата]])</f>
        <v>18</v>
      </c>
      <c r="H45">
        <f>Таблица2_2[[#This Row],[Товарооборот, руб]]/Таблица2_2[[#This Row],[Количество складов]]</f>
        <v>168403</v>
      </c>
      <c r="I45" t="str">
        <f>--Таблица2_2[[#This Row],[Дата]]&amp;Таблица2_2[[#This Row],[Территория]]</f>
        <v>43952Кемерово</v>
      </c>
    </row>
    <row r="46" spans="1:9" x14ac:dyDescent="0.25">
      <c r="A46" s="12">
        <v>43952</v>
      </c>
      <c r="B46" s="13" t="s">
        <v>20</v>
      </c>
      <c r="C46">
        <v>19</v>
      </c>
      <c r="D46">
        <v>1987</v>
      </c>
      <c r="E46">
        <v>1791</v>
      </c>
      <c r="F46" s="14">
        <f>INDEX(Лист1!$D:$D,MATCH(I46,Лист1!$J:$J,0))</f>
        <v>3168510</v>
      </c>
      <c r="G46">
        <f>_xlfn.ISOWEEKNUM(Таблица2_2[[#This Row],[Дата]])</f>
        <v>18</v>
      </c>
      <c r="H46">
        <f>Таблица2_2[[#This Row],[Товарооборот, руб]]/Таблица2_2[[#This Row],[Количество складов]]</f>
        <v>166763.68421052632</v>
      </c>
      <c r="I46" t="str">
        <f>--Таблица2_2[[#This Row],[Дата]]&amp;Таблица2_2[[#This Row],[Территория]]</f>
        <v>43952Краснодар</v>
      </c>
    </row>
    <row r="47" spans="1:9" x14ac:dyDescent="0.25">
      <c r="A47" s="12">
        <v>43952</v>
      </c>
      <c r="B47" s="13" t="s">
        <v>22</v>
      </c>
      <c r="C47">
        <v>54</v>
      </c>
      <c r="D47">
        <v>14205</v>
      </c>
      <c r="E47">
        <v>13026</v>
      </c>
      <c r="F47" s="14">
        <f>INDEX(Лист1!$D:$D,MATCH(I47,Лист1!$J:$J,0))</f>
        <v>23953536</v>
      </c>
      <c r="G47">
        <f>_xlfn.ISOWEEKNUM(Таблица2_2[[#This Row],[Дата]])</f>
        <v>18</v>
      </c>
      <c r="H47">
        <f>Таблица2_2[[#This Row],[Товарооборот, руб]]/Таблица2_2[[#This Row],[Количество складов]]</f>
        <v>443584</v>
      </c>
      <c r="I47" t="str">
        <f>--Таблица2_2[[#This Row],[Дата]]&amp;Таблица2_2[[#This Row],[Территория]]</f>
        <v>43952Москва Восток</v>
      </c>
    </row>
    <row r="48" spans="1:9" x14ac:dyDescent="0.25">
      <c r="A48" s="12">
        <v>43952</v>
      </c>
      <c r="B48" s="13" t="s">
        <v>21</v>
      </c>
      <c r="C48">
        <v>59</v>
      </c>
      <c r="D48">
        <v>15222</v>
      </c>
      <c r="E48">
        <v>13873</v>
      </c>
      <c r="F48" s="14">
        <f>INDEX(Лист1!$D:$D,MATCH(I48,Лист1!$J:$J,0))</f>
        <v>25413351</v>
      </c>
      <c r="G48">
        <f>_xlfn.ISOWEEKNUM(Таблица2_2[[#This Row],[Дата]])</f>
        <v>18</v>
      </c>
      <c r="H48">
        <f>Таблица2_2[[#This Row],[Товарооборот, руб]]/Таблица2_2[[#This Row],[Количество складов]]</f>
        <v>430734.76271186443</v>
      </c>
      <c r="I48" t="str">
        <f>--Таблица2_2[[#This Row],[Дата]]&amp;Таблица2_2[[#This Row],[Территория]]</f>
        <v>43952Москва Запад</v>
      </c>
    </row>
    <row r="49" spans="1:9" x14ac:dyDescent="0.25">
      <c r="A49" s="12">
        <v>43952</v>
      </c>
      <c r="B49" s="13" t="s">
        <v>13</v>
      </c>
      <c r="C49">
        <v>19</v>
      </c>
      <c r="D49">
        <v>1497</v>
      </c>
      <c r="E49">
        <v>1291</v>
      </c>
      <c r="F49" s="14">
        <f>INDEX(Лист1!$D:$D,MATCH(I49,Лист1!$J:$J,0))</f>
        <v>2374356</v>
      </c>
      <c r="G49">
        <f>_xlfn.ISOWEEKNUM(Таблица2_2[[#This Row],[Дата]])</f>
        <v>18</v>
      </c>
      <c r="H49">
        <f>Таблица2_2[[#This Row],[Товарооборот, руб]]/Таблица2_2[[#This Row],[Количество складов]]</f>
        <v>124966.10526315789</v>
      </c>
      <c r="I49" t="str">
        <f>--Таблица2_2[[#This Row],[Дата]]&amp;Таблица2_2[[#This Row],[Территория]]</f>
        <v>43952Нижний Новгород</v>
      </c>
    </row>
    <row r="50" spans="1:9" x14ac:dyDescent="0.25">
      <c r="A50" s="12">
        <v>43952</v>
      </c>
      <c r="B50" s="13" t="s">
        <v>23</v>
      </c>
      <c r="C50">
        <v>15</v>
      </c>
      <c r="D50">
        <v>721</v>
      </c>
      <c r="E50">
        <v>625</v>
      </c>
      <c r="F50" s="14">
        <f>INDEX(Лист1!$D:$D,MATCH(I50,Лист1!$J:$J,0))</f>
        <v>1134444</v>
      </c>
      <c r="G50">
        <f>_xlfn.ISOWEEKNUM(Таблица2_2[[#This Row],[Дата]])</f>
        <v>18</v>
      </c>
      <c r="H50">
        <f>Таблица2_2[[#This Row],[Товарооборот, руб]]/Таблица2_2[[#This Row],[Количество складов]]</f>
        <v>75629.600000000006</v>
      </c>
      <c r="I50" t="str">
        <f>--Таблица2_2[[#This Row],[Дата]]&amp;Таблица2_2[[#This Row],[Территория]]</f>
        <v>43952Новосибирск</v>
      </c>
    </row>
    <row r="51" spans="1:9" x14ac:dyDescent="0.25">
      <c r="A51" s="12">
        <v>43952</v>
      </c>
      <c r="B51" s="13" t="s">
        <v>18</v>
      </c>
      <c r="C51">
        <v>15</v>
      </c>
      <c r="D51">
        <v>996</v>
      </c>
      <c r="E51">
        <v>888</v>
      </c>
      <c r="F51" s="14">
        <f>INDEX(Лист1!$D:$D,MATCH(I51,Лист1!$J:$J,0))</f>
        <v>1465842</v>
      </c>
      <c r="G51">
        <f>_xlfn.ISOWEEKNUM(Таблица2_2[[#This Row],[Дата]])</f>
        <v>18</v>
      </c>
      <c r="H51">
        <f>Таблица2_2[[#This Row],[Товарооборот, руб]]/Таблица2_2[[#This Row],[Количество складов]]</f>
        <v>97722.8</v>
      </c>
      <c r="I51" t="str">
        <f>--Таблица2_2[[#This Row],[Дата]]&amp;Таблица2_2[[#This Row],[Территория]]</f>
        <v>43952Пермь</v>
      </c>
    </row>
    <row r="52" spans="1:9" x14ac:dyDescent="0.25">
      <c r="A52" s="12">
        <v>43952</v>
      </c>
      <c r="B52" s="13" t="s">
        <v>19</v>
      </c>
      <c r="C52">
        <v>15</v>
      </c>
      <c r="D52">
        <v>294</v>
      </c>
      <c r="E52">
        <v>225</v>
      </c>
      <c r="F52" s="14">
        <f>INDEX(Лист1!$D:$D,MATCH(I52,Лист1!$J:$J,0))</f>
        <v>505572</v>
      </c>
      <c r="G52">
        <f>_xlfn.ISOWEEKNUM(Таблица2_2[[#This Row],[Дата]])</f>
        <v>18</v>
      </c>
      <c r="H52">
        <f>Таблица2_2[[#This Row],[Товарооборот, руб]]/Таблица2_2[[#This Row],[Количество складов]]</f>
        <v>33704.800000000003</v>
      </c>
      <c r="I52" t="str">
        <f>--Таблица2_2[[#This Row],[Дата]]&amp;Таблица2_2[[#This Row],[Территория]]</f>
        <v>43952Ростов-на-Дону</v>
      </c>
    </row>
    <row r="53" spans="1:9" x14ac:dyDescent="0.25">
      <c r="A53" s="12">
        <v>43952</v>
      </c>
      <c r="B53" s="13" t="s">
        <v>15</v>
      </c>
      <c r="C53">
        <v>125</v>
      </c>
      <c r="D53">
        <v>20602</v>
      </c>
      <c r="E53">
        <v>18845</v>
      </c>
      <c r="F53" s="14">
        <f>INDEX(Лист1!$D:$D,MATCH(I53,Лист1!$J:$J,0))</f>
        <v>40077193.5</v>
      </c>
      <c r="G53">
        <f>_xlfn.ISOWEEKNUM(Таблица2_2[[#This Row],[Дата]])</f>
        <v>18</v>
      </c>
      <c r="H53">
        <f>Таблица2_2[[#This Row],[Товарооборот, руб]]/Таблица2_2[[#This Row],[Количество складов]]</f>
        <v>320617.54800000001</v>
      </c>
      <c r="I53" t="str">
        <f>--Таблица2_2[[#This Row],[Дата]]&amp;Таблица2_2[[#This Row],[Территория]]</f>
        <v>43952Санкт-Петербург Север</v>
      </c>
    </row>
    <row r="54" spans="1:9" x14ac:dyDescent="0.25">
      <c r="A54" s="12">
        <v>43952</v>
      </c>
      <c r="B54" s="13" t="s">
        <v>14</v>
      </c>
      <c r="C54">
        <v>129</v>
      </c>
      <c r="D54">
        <v>17002</v>
      </c>
      <c r="E54">
        <v>15570</v>
      </c>
      <c r="F54" s="14">
        <f>INDEX(Лист1!$D:$D,MATCH(I54,Лист1!$J:$J,0))</f>
        <v>31053316.5</v>
      </c>
      <c r="G54">
        <f>_xlfn.ISOWEEKNUM(Таблица2_2[[#This Row],[Дата]])</f>
        <v>18</v>
      </c>
      <c r="H54">
        <f>Таблица2_2[[#This Row],[Товарооборот, руб]]/Таблица2_2[[#This Row],[Количество складов]]</f>
        <v>240723.38372093023</v>
      </c>
      <c r="I54" t="str">
        <f>--Таблица2_2[[#This Row],[Дата]]&amp;Таблица2_2[[#This Row],[Территория]]</f>
        <v>43952Санкт-Петербург Юг</v>
      </c>
    </row>
    <row r="55" spans="1:9" x14ac:dyDescent="0.25">
      <c r="A55" s="12">
        <v>43952</v>
      </c>
      <c r="B55" s="13" t="s">
        <v>12</v>
      </c>
      <c r="C55">
        <v>10</v>
      </c>
      <c r="D55">
        <v>554</v>
      </c>
      <c r="E55">
        <v>472</v>
      </c>
      <c r="F55" s="14">
        <f>INDEX(Лист1!$D:$D,MATCH(I55,Лист1!$J:$J,0))</f>
        <v>891139.5</v>
      </c>
      <c r="G55">
        <f>_xlfn.ISOWEEKNUM(Таблица2_2[[#This Row],[Дата]])</f>
        <v>18</v>
      </c>
      <c r="H55">
        <f>Таблица2_2[[#This Row],[Товарооборот, руб]]/Таблица2_2[[#This Row],[Количество складов]]</f>
        <v>89113.95</v>
      </c>
      <c r="I55" t="str">
        <f>--Таблица2_2[[#This Row],[Дата]]&amp;Таблица2_2[[#This Row],[Территория]]</f>
        <v>43952Тольятти</v>
      </c>
    </row>
    <row r="56" spans="1:9" x14ac:dyDescent="0.25">
      <c r="A56" s="12">
        <v>43953</v>
      </c>
      <c r="B56" s="13" t="s">
        <v>16</v>
      </c>
      <c r="C56">
        <v>36</v>
      </c>
      <c r="D56">
        <v>3442</v>
      </c>
      <c r="E56">
        <v>3147</v>
      </c>
      <c r="F56" s="14">
        <f>INDEX(Лист1!$D:$D,MATCH(I56,Лист1!$J:$J,0))</f>
        <v>4118251.5</v>
      </c>
      <c r="G56">
        <f>_xlfn.ISOWEEKNUM(Таблица2_2[[#This Row],[Дата]])</f>
        <v>18</v>
      </c>
      <c r="H56">
        <f>Таблица2_2[[#This Row],[Товарооборот, руб]]/Таблица2_2[[#This Row],[Количество складов]]</f>
        <v>114395.875</v>
      </c>
      <c r="I56" t="str">
        <f>--Таблица2_2[[#This Row],[Дата]]&amp;Таблица2_2[[#This Row],[Территория]]</f>
        <v>43953Волгоград</v>
      </c>
    </row>
    <row r="57" spans="1:9" x14ac:dyDescent="0.25">
      <c r="A57" s="12">
        <v>43953</v>
      </c>
      <c r="B57" s="13" t="s">
        <v>11</v>
      </c>
      <c r="C57">
        <v>31</v>
      </c>
      <c r="D57">
        <v>4157</v>
      </c>
      <c r="E57">
        <v>3823</v>
      </c>
      <c r="F57" s="14">
        <f>INDEX(Лист1!$D:$D,MATCH(I57,Лист1!$J:$J,0))</f>
        <v>5554192.5</v>
      </c>
      <c r="G57">
        <f>_xlfn.ISOWEEKNUM(Таблица2_2[[#This Row],[Дата]])</f>
        <v>18</v>
      </c>
      <c r="H57">
        <f>Таблица2_2[[#This Row],[Товарооборот, руб]]/Таблица2_2[[#This Row],[Количество складов]]</f>
        <v>179167.5</v>
      </c>
      <c r="I57" t="str">
        <f>--Таблица2_2[[#This Row],[Дата]]&amp;Таблица2_2[[#This Row],[Территория]]</f>
        <v>43953Екатеринбург</v>
      </c>
    </row>
    <row r="58" spans="1:9" x14ac:dyDescent="0.25">
      <c r="A58" s="12">
        <v>43953</v>
      </c>
      <c r="B58" s="13" t="s">
        <v>17</v>
      </c>
      <c r="C58">
        <v>20</v>
      </c>
      <c r="D58">
        <v>1613</v>
      </c>
      <c r="E58">
        <v>1457</v>
      </c>
      <c r="F58" s="14">
        <f>INDEX(Лист1!$D:$D,MATCH(I58,Лист1!$J:$J,0))</f>
        <v>2470465.5</v>
      </c>
      <c r="G58">
        <f>_xlfn.ISOWEEKNUM(Таблица2_2[[#This Row],[Дата]])</f>
        <v>18</v>
      </c>
      <c r="H58">
        <f>Таблица2_2[[#This Row],[Товарооборот, руб]]/Таблица2_2[[#This Row],[Количество складов]]</f>
        <v>123523.27499999999</v>
      </c>
      <c r="I58" t="str">
        <f>--Таблица2_2[[#This Row],[Дата]]&amp;Таблица2_2[[#This Row],[Территория]]</f>
        <v>43953Казань</v>
      </c>
    </row>
    <row r="59" spans="1:9" x14ac:dyDescent="0.25">
      <c r="A59" s="12">
        <v>43953</v>
      </c>
      <c r="B59" s="13" t="s">
        <v>10</v>
      </c>
      <c r="C59">
        <v>18</v>
      </c>
      <c r="D59">
        <v>1708</v>
      </c>
      <c r="E59">
        <v>1534</v>
      </c>
      <c r="F59" s="14">
        <f>INDEX(Лист1!$D:$D,MATCH(I59,Лист1!$J:$J,0))</f>
        <v>2711247</v>
      </c>
      <c r="G59">
        <f>_xlfn.ISOWEEKNUM(Таблица2_2[[#This Row],[Дата]])</f>
        <v>18</v>
      </c>
      <c r="H59">
        <f>Таблица2_2[[#This Row],[Товарооборот, руб]]/Таблица2_2[[#This Row],[Количество складов]]</f>
        <v>150624.83333333334</v>
      </c>
      <c r="I59" t="str">
        <f>--Таблица2_2[[#This Row],[Дата]]&amp;Таблица2_2[[#This Row],[Территория]]</f>
        <v>43953Кемерово</v>
      </c>
    </row>
    <row r="60" spans="1:9" x14ac:dyDescent="0.25">
      <c r="A60" s="12">
        <v>43953</v>
      </c>
      <c r="B60" s="13" t="s">
        <v>20</v>
      </c>
      <c r="C60">
        <v>19</v>
      </c>
      <c r="D60">
        <v>1206</v>
      </c>
      <c r="E60">
        <v>1080</v>
      </c>
      <c r="F60" s="14">
        <f>INDEX(Лист1!$D:$D,MATCH(I60,Лист1!$J:$J,0))</f>
        <v>1682851.5</v>
      </c>
      <c r="G60">
        <f>_xlfn.ISOWEEKNUM(Таблица2_2[[#This Row],[Дата]])</f>
        <v>18</v>
      </c>
      <c r="H60">
        <f>Таблица2_2[[#This Row],[Товарооборот, руб]]/Таблица2_2[[#This Row],[Количество складов]]</f>
        <v>88571.131578947374</v>
      </c>
      <c r="I60" t="str">
        <f>--Таблица2_2[[#This Row],[Дата]]&amp;Таблица2_2[[#This Row],[Территория]]</f>
        <v>43953Краснодар</v>
      </c>
    </row>
    <row r="61" spans="1:9" x14ac:dyDescent="0.25">
      <c r="A61" s="12">
        <v>43953</v>
      </c>
      <c r="B61" s="13" t="s">
        <v>22</v>
      </c>
      <c r="C61">
        <v>54</v>
      </c>
      <c r="D61">
        <v>11622</v>
      </c>
      <c r="E61">
        <v>10754</v>
      </c>
      <c r="F61" s="14">
        <f>INDEX(Лист1!$D:$D,MATCH(I61,Лист1!$J:$J,0))</f>
        <v>18625921.5</v>
      </c>
      <c r="G61">
        <f>_xlfn.ISOWEEKNUM(Таблица2_2[[#This Row],[Дата]])</f>
        <v>18</v>
      </c>
      <c r="H61">
        <f>Таблица2_2[[#This Row],[Товарооборот, руб]]/Таблица2_2[[#This Row],[Количество складов]]</f>
        <v>344924.47222222225</v>
      </c>
      <c r="I61" t="str">
        <f>--Таблица2_2[[#This Row],[Дата]]&amp;Таблица2_2[[#This Row],[Территория]]</f>
        <v>43953Москва Восток</v>
      </c>
    </row>
    <row r="62" spans="1:9" x14ac:dyDescent="0.25">
      <c r="A62" s="12">
        <v>43953</v>
      </c>
      <c r="B62" s="13" t="s">
        <v>21</v>
      </c>
      <c r="C62">
        <v>59</v>
      </c>
      <c r="D62">
        <v>12429</v>
      </c>
      <c r="E62">
        <v>11477</v>
      </c>
      <c r="F62" s="14">
        <f>INDEX(Лист1!$D:$D,MATCH(I62,Лист1!$J:$J,0))</f>
        <v>19625364</v>
      </c>
      <c r="G62">
        <f>_xlfn.ISOWEEKNUM(Таблица2_2[[#This Row],[Дата]])</f>
        <v>18</v>
      </c>
      <c r="H62">
        <f>Таблица2_2[[#This Row],[Товарооборот, руб]]/Таблица2_2[[#This Row],[Количество складов]]</f>
        <v>332633.28813559323</v>
      </c>
      <c r="I62" t="str">
        <f>--Таблица2_2[[#This Row],[Дата]]&amp;Таблица2_2[[#This Row],[Территория]]</f>
        <v>43953Москва Запад</v>
      </c>
    </row>
    <row r="63" spans="1:9" x14ac:dyDescent="0.25">
      <c r="A63" s="12">
        <v>43953</v>
      </c>
      <c r="B63" s="13" t="s">
        <v>13</v>
      </c>
      <c r="C63">
        <v>19</v>
      </c>
      <c r="D63">
        <v>1217</v>
      </c>
      <c r="E63">
        <v>1048</v>
      </c>
      <c r="F63" s="14">
        <f>INDEX(Лист1!$D:$D,MATCH(I63,Лист1!$J:$J,0))</f>
        <v>1799230.5</v>
      </c>
      <c r="G63">
        <f>_xlfn.ISOWEEKNUM(Таблица2_2[[#This Row],[Дата]])</f>
        <v>18</v>
      </c>
      <c r="H63">
        <f>Таблица2_2[[#This Row],[Товарооборот, руб]]/Таблица2_2[[#This Row],[Количество складов]]</f>
        <v>94696.34210526316</v>
      </c>
      <c r="I63" t="str">
        <f>--Таблица2_2[[#This Row],[Дата]]&amp;Таблица2_2[[#This Row],[Территория]]</f>
        <v>43953Нижний Новгород</v>
      </c>
    </row>
    <row r="64" spans="1:9" x14ac:dyDescent="0.25">
      <c r="A64" s="12">
        <v>43953</v>
      </c>
      <c r="B64" s="13" t="s">
        <v>23</v>
      </c>
      <c r="C64">
        <v>15</v>
      </c>
      <c r="D64">
        <v>567</v>
      </c>
      <c r="E64">
        <v>493</v>
      </c>
      <c r="F64" s="14">
        <f>INDEX(Лист1!$D:$D,MATCH(I64,Лист1!$J:$J,0))</f>
        <v>816859.5</v>
      </c>
      <c r="G64">
        <f>_xlfn.ISOWEEKNUM(Таблица2_2[[#This Row],[Дата]])</f>
        <v>18</v>
      </c>
      <c r="H64">
        <f>Таблица2_2[[#This Row],[Товарооборот, руб]]/Таблица2_2[[#This Row],[Количество складов]]</f>
        <v>54457.3</v>
      </c>
      <c r="I64" t="str">
        <f>--Таблица2_2[[#This Row],[Дата]]&amp;Таблица2_2[[#This Row],[Территория]]</f>
        <v>43953Новосибирск</v>
      </c>
    </row>
    <row r="65" spans="1:9" x14ac:dyDescent="0.25">
      <c r="A65" s="12">
        <v>43953</v>
      </c>
      <c r="B65" s="13" t="s">
        <v>18</v>
      </c>
      <c r="C65">
        <v>15</v>
      </c>
      <c r="D65">
        <v>751</v>
      </c>
      <c r="E65">
        <v>651</v>
      </c>
      <c r="F65" s="14">
        <f>INDEX(Лист1!$D:$D,MATCH(I65,Лист1!$J:$J,0))</f>
        <v>1053220.5</v>
      </c>
      <c r="G65">
        <f>_xlfn.ISOWEEKNUM(Таблица2_2[[#This Row],[Дата]])</f>
        <v>18</v>
      </c>
      <c r="H65">
        <f>Таблица2_2[[#This Row],[Товарооборот, руб]]/Таблица2_2[[#This Row],[Количество складов]]</f>
        <v>70214.7</v>
      </c>
      <c r="I65" t="str">
        <f>--Таблица2_2[[#This Row],[Дата]]&amp;Таблица2_2[[#This Row],[Территория]]</f>
        <v>43953Пермь</v>
      </c>
    </row>
    <row r="66" spans="1:9" x14ac:dyDescent="0.25">
      <c r="A66" s="12">
        <v>43953</v>
      </c>
      <c r="B66" s="13" t="s">
        <v>19</v>
      </c>
      <c r="C66">
        <v>15</v>
      </c>
      <c r="D66">
        <v>274</v>
      </c>
      <c r="E66">
        <v>203</v>
      </c>
      <c r="F66" s="14">
        <f>INDEX(Лист1!$D:$D,MATCH(I66,Лист1!$J:$J,0))</f>
        <v>433243.5</v>
      </c>
      <c r="G66">
        <f>_xlfn.ISOWEEKNUM(Таблица2_2[[#This Row],[Дата]])</f>
        <v>18</v>
      </c>
      <c r="H66">
        <f>Таблица2_2[[#This Row],[Товарооборот, руб]]/Таблица2_2[[#This Row],[Количество складов]]</f>
        <v>28882.9</v>
      </c>
      <c r="I66" t="str">
        <f>--Таблица2_2[[#This Row],[Дата]]&amp;Таблица2_2[[#This Row],[Территория]]</f>
        <v>43953Ростов-на-Дону</v>
      </c>
    </row>
    <row r="67" spans="1:9" x14ac:dyDescent="0.25">
      <c r="A67" s="12">
        <v>43953</v>
      </c>
      <c r="B67" s="13" t="s">
        <v>15</v>
      </c>
      <c r="C67">
        <v>125</v>
      </c>
      <c r="D67">
        <v>16932</v>
      </c>
      <c r="E67">
        <v>15601</v>
      </c>
      <c r="F67" s="14">
        <f>INDEX(Лист1!$D:$D,MATCH(I67,Лист1!$J:$J,0))</f>
        <v>31843737</v>
      </c>
      <c r="G67">
        <f>_xlfn.ISOWEEKNUM(Таблица2_2[[#This Row],[Дата]])</f>
        <v>18</v>
      </c>
      <c r="H67">
        <f>Таблица2_2[[#This Row],[Товарооборот, руб]]/Таблица2_2[[#This Row],[Количество складов]]</f>
        <v>254749.89600000001</v>
      </c>
      <c r="I67" t="str">
        <f>--Таблица2_2[[#This Row],[Дата]]&amp;Таблица2_2[[#This Row],[Территория]]</f>
        <v>43953Санкт-Петербург Север</v>
      </c>
    </row>
    <row r="68" spans="1:9" x14ac:dyDescent="0.25">
      <c r="A68" s="12">
        <v>43953</v>
      </c>
      <c r="B68" s="13" t="s">
        <v>14</v>
      </c>
      <c r="C68">
        <v>129</v>
      </c>
      <c r="D68">
        <v>14009</v>
      </c>
      <c r="E68">
        <v>12920</v>
      </c>
      <c r="F68" s="14">
        <f>INDEX(Лист1!$D:$D,MATCH(I68,Лист1!$J:$J,0))</f>
        <v>24342016.5</v>
      </c>
      <c r="G68">
        <f>_xlfn.ISOWEEKNUM(Таблица2_2[[#This Row],[Дата]])</f>
        <v>18</v>
      </c>
      <c r="H68">
        <f>Таблица2_2[[#This Row],[Товарооборот, руб]]/Таблица2_2[[#This Row],[Количество складов]]</f>
        <v>188697.8023255814</v>
      </c>
      <c r="I68" t="str">
        <f>--Таблица2_2[[#This Row],[Дата]]&amp;Таблица2_2[[#This Row],[Территория]]</f>
        <v>43953Санкт-Петербург Юг</v>
      </c>
    </row>
    <row r="69" spans="1:9" x14ac:dyDescent="0.25">
      <c r="A69" s="12">
        <v>43953</v>
      </c>
      <c r="B69" s="13" t="s">
        <v>12</v>
      </c>
      <c r="C69">
        <v>10</v>
      </c>
      <c r="D69">
        <v>416</v>
      </c>
      <c r="E69">
        <v>341</v>
      </c>
      <c r="F69" s="14">
        <f>INDEX(Лист1!$D:$D,MATCH(I69,Лист1!$J:$J,0))</f>
        <v>617881.5</v>
      </c>
      <c r="G69">
        <f>_xlfn.ISOWEEKNUM(Таблица2_2[[#This Row],[Дата]])</f>
        <v>18</v>
      </c>
      <c r="H69">
        <f>Таблица2_2[[#This Row],[Товарооборот, руб]]/Таблица2_2[[#This Row],[Количество складов]]</f>
        <v>61788.15</v>
      </c>
      <c r="I69" t="str">
        <f>--Таблица2_2[[#This Row],[Дата]]&amp;Таблица2_2[[#This Row],[Территория]]</f>
        <v>43953Тольятти</v>
      </c>
    </row>
    <row r="70" spans="1:9" x14ac:dyDescent="0.25">
      <c r="A70" s="12">
        <v>43954</v>
      </c>
      <c r="B70" s="13" t="s">
        <v>16</v>
      </c>
      <c r="C70">
        <v>36</v>
      </c>
      <c r="D70">
        <v>4751</v>
      </c>
      <c r="E70">
        <v>4370</v>
      </c>
      <c r="F70" s="14">
        <f>INDEX(Лист1!$D:$D,MATCH(I70,Лист1!$J:$J,0))</f>
        <v>6221320.5</v>
      </c>
      <c r="G70">
        <f>_xlfn.ISOWEEKNUM(Таблица2_2[[#This Row],[Дата]])</f>
        <v>18</v>
      </c>
      <c r="H70">
        <f>Таблица2_2[[#This Row],[Товарооборот, руб]]/Таблица2_2[[#This Row],[Количество складов]]</f>
        <v>172814.45833333334</v>
      </c>
      <c r="I70" t="str">
        <f>--Таблица2_2[[#This Row],[Дата]]&amp;Таблица2_2[[#This Row],[Территория]]</f>
        <v>43954Волгоград</v>
      </c>
    </row>
    <row r="71" spans="1:9" x14ac:dyDescent="0.25">
      <c r="A71" s="12">
        <v>43954</v>
      </c>
      <c r="B71" s="13" t="s">
        <v>11</v>
      </c>
      <c r="C71">
        <v>31</v>
      </c>
      <c r="D71">
        <v>5155</v>
      </c>
      <c r="E71">
        <v>4762</v>
      </c>
      <c r="F71" s="14">
        <f>INDEX(Лист1!$D:$D,MATCH(I71,Лист1!$J:$J,0))</f>
        <v>7013670</v>
      </c>
      <c r="G71">
        <f>_xlfn.ISOWEEKNUM(Таблица2_2[[#This Row],[Дата]])</f>
        <v>18</v>
      </c>
      <c r="H71">
        <f>Таблица2_2[[#This Row],[Товарооборот, руб]]/Таблица2_2[[#This Row],[Количество складов]]</f>
        <v>226247.4193548387</v>
      </c>
      <c r="I71" t="str">
        <f>--Таблица2_2[[#This Row],[Дата]]&amp;Таблица2_2[[#This Row],[Территория]]</f>
        <v>43954Екатеринбург</v>
      </c>
    </row>
    <row r="72" spans="1:9" x14ac:dyDescent="0.25">
      <c r="A72" s="12">
        <v>43954</v>
      </c>
      <c r="B72" s="13" t="s">
        <v>17</v>
      </c>
      <c r="C72">
        <v>20</v>
      </c>
      <c r="D72">
        <v>1716</v>
      </c>
      <c r="E72">
        <v>1561</v>
      </c>
      <c r="F72" s="14">
        <f>INDEX(Лист1!$D:$D,MATCH(I72,Лист1!$J:$J,0))</f>
        <v>2720002.5</v>
      </c>
      <c r="G72">
        <f>_xlfn.ISOWEEKNUM(Таблица2_2[[#This Row],[Дата]])</f>
        <v>18</v>
      </c>
      <c r="H72">
        <f>Таблица2_2[[#This Row],[Товарооборот, руб]]/Таблица2_2[[#This Row],[Количество складов]]</f>
        <v>136000.125</v>
      </c>
      <c r="I72" t="str">
        <f>--Таблица2_2[[#This Row],[Дата]]&amp;Таблица2_2[[#This Row],[Территория]]</f>
        <v>43954Казань</v>
      </c>
    </row>
    <row r="73" spans="1:9" x14ac:dyDescent="0.25">
      <c r="A73" s="12">
        <v>43954</v>
      </c>
      <c r="B73" s="13" t="s">
        <v>10</v>
      </c>
      <c r="C73">
        <v>20</v>
      </c>
      <c r="D73">
        <v>1520</v>
      </c>
      <c r="E73">
        <v>1373</v>
      </c>
      <c r="F73" s="14">
        <f>INDEX(Лист1!$D:$D,MATCH(I73,Лист1!$J:$J,0))</f>
        <v>2434914</v>
      </c>
      <c r="G73">
        <f>_xlfn.ISOWEEKNUM(Таблица2_2[[#This Row],[Дата]])</f>
        <v>18</v>
      </c>
      <c r="H73">
        <f>Таблица2_2[[#This Row],[Товарооборот, руб]]/Таблица2_2[[#This Row],[Количество складов]]</f>
        <v>121745.7</v>
      </c>
      <c r="I73" t="str">
        <f>--Таблица2_2[[#This Row],[Дата]]&amp;Таблица2_2[[#This Row],[Территория]]</f>
        <v>43954Кемерово</v>
      </c>
    </row>
    <row r="74" spans="1:9" x14ac:dyDescent="0.25">
      <c r="A74" s="12">
        <v>43954</v>
      </c>
      <c r="B74" s="13" t="s">
        <v>20</v>
      </c>
      <c r="C74">
        <v>19</v>
      </c>
      <c r="D74">
        <v>1314</v>
      </c>
      <c r="E74">
        <v>1192</v>
      </c>
      <c r="F74" s="14">
        <f>INDEX(Лист1!$D:$D,MATCH(I74,Лист1!$J:$J,0))</f>
        <v>1906557</v>
      </c>
      <c r="G74">
        <f>_xlfn.ISOWEEKNUM(Таблица2_2[[#This Row],[Дата]])</f>
        <v>18</v>
      </c>
      <c r="H74">
        <f>Таблица2_2[[#This Row],[Товарооборот, руб]]/Таблица2_2[[#This Row],[Количество складов]]</f>
        <v>100345.10526315789</v>
      </c>
      <c r="I74" t="str">
        <f>--Таблица2_2[[#This Row],[Дата]]&amp;Таблица2_2[[#This Row],[Территория]]</f>
        <v>43954Краснодар</v>
      </c>
    </row>
    <row r="75" spans="1:9" x14ac:dyDescent="0.25">
      <c r="A75" s="12">
        <v>43954</v>
      </c>
      <c r="B75" s="13" t="s">
        <v>22</v>
      </c>
      <c r="C75">
        <v>54</v>
      </c>
      <c r="D75">
        <v>14823</v>
      </c>
      <c r="E75">
        <v>13751</v>
      </c>
      <c r="F75" s="14">
        <f>INDEX(Лист1!$D:$D,MATCH(I75,Лист1!$J:$J,0))</f>
        <v>25519072.5</v>
      </c>
      <c r="G75">
        <f>_xlfn.ISOWEEKNUM(Таблица2_2[[#This Row],[Дата]])</f>
        <v>18</v>
      </c>
      <c r="H75">
        <f>Таблица2_2[[#This Row],[Товарооборот, руб]]/Таблица2_2[[#This Row],[Количество складов]]</f>
        <v>472575.41666666669</v>
      </c>
      <c r="I75" t="str">
        <f>--Таблица2_2[[#This Row],[Дата]]&amp;Таблица2_2[[#This Row],[Территория]]</f>
        <v>43954Москва Восток</v>
      </c>
    </row>
    <row r="76" spans="1:9" x14ac:dyDescent="0.25">
      <c r="A76" s="12">
        <v>43954</v>
      </c>
      <c r="B76" s="13" t="s">
        <v>21</v>
      </c>
      <c r="C76">
        <v>59</v>
      </c>
      <c r="D76">
        <v>15277</v>
      </c>
      <c r="E76">
        <v>14163</v>
      </c>
      <c r="F76" s="14">
        <f>INDEX(Лист1!$D:$D,MATCH(I76,Лист1!$J:$J,0))</f>
        <v>26492278.5</v>
      </c>
      <c r="G76">
        <f>_xlfn.ISOWEEKNUM(Таблица2_2[[#This Row],[Дата]])</f>
        <v>18</v>
      </c>
      <c r="H76">
        <f>Таблица2_2[[#This Row],[Товарооборот, руб]]/Таблица2_2[[#This Row],[Количество складов]]</f>
        <v>449021.66949152545</v>
      </c>
      <c r="I76" t="str">
        <f>--Таблица2_2[[#This Row],[Дата]]&amp;Таблица2_2[[#This Row],[Территория]]</f>
        <v>43954Москва Запад</v>
      </c>
    </row>
    <row r="77" spans="1:9" x14ac:dyDescent="0.25">
      <c r="A77" s="12">
        <v>43954</v>
      </c>
      <c r="B77" s="13" t="s">
        <v>13</v>
      </c>
      <c r="C77">
        <v>19</v>
      </c>
      <c r="D77">
        <v>1402</v>
      </c>
      <c r="E77">
        <v>1234</v>
      </c>
      <c r="F77" s="14">
        <f>INDEX(Лист1!$D:$D,MATCH(I77,Лист1!$J:$J,0))</f>
        <v>2170309.5</v>
      </c>
      <c r="G77">
        <f>_xlfn.ISOWEEKNUM(Таблица2_2[[#This Row],[Дата]])</f>
        <v>18</v>
      </c>
      <c r="H77">
        <f>Таблица2_2[[#This Row],[Товарооборот, руб]]/Таблица2_2[[#This Row],[Количество складов]]</f>
        <v>114226.81578947368</v>
      </c>
      <c r="I77" t="str">
        <f>--Таблица2_2[[#This Row],[Дата]]&amp;Таблица2_2[[#This Row],[Территория]]</f>
        <v>43954Нижний Новгород</v>
      </c>
    </row>
    <row r="78" spans="1:9" x14ac:dyDescent="0.25">
      <c r="A78" s="12">
        <v>43954</v>
      </c>
      <c r="B78" s="13" t="s">
        <v>23</v>
      </c>
      <c r="C78">
        <v>15</v>
      </c>
      <c r="D78">
        <v>585</v>
      </c>
      <c r="E78">
        <v>502</v>
      </c>
      <c r="F78" s="14">
        <f>INDEX(Лист1!$D:$D,MATCH(I78,Лист1!$J:$J,0))</f>
        <v>816150</v>
      </c>
      <c r="G78">
        <f>_xlfn.ISOWEEKNUM(Таблица2_2[[#This Row],[Дата]])</f>
        <v>18</v>
      </c>
      <c r="H78">
        <f>Таблица2_2[[#This Row],[Товарооборот, руб]]/Таблица2_2[[#This Row],[Количество складов]]</f>
        <v>54410</v>
      </c>
      <c r="I78" t="str">
        <f>--Таблица2_2[[#This Row],[Дата]]&amp;Таблица2_2[[#This Row],[Территория]]</f>
        <v>43954Новосибирск</v>
      </c>
    </row>
    <row r="79" spans="1:9" x14ac:dyDescent="0.25">
      <c r="A79" s="12">
        <v>43954</v>
      </c>
      <c r="B79" s="13" t="s">
        <v>18</v>
      </c>
      <c r="C79">
        <v>15</v>
      </c>
      <c r="D79">
        <v>784</v>
      </c>
      <c r="E79">
        <v>696</v>
      </c>
      <c r="F79" s="14">
        <f>INDEX(Лист1!$D:$D,MATCH(I79,Лист1!$J:$J,0))</f>
        <v>1120009.5</v>
      </c>
      <c r="G79">
        <f>_xlfn.ISOWEEKNUM(Таблица2_2[[#This Row],[Дата]])</f>
        <v>18</v>
      </c>
      <c r="H79">
        <f>Таблица2_2[[#This Row],[Товарооборот, руб]]/Таблица2_2[[#This Row],[Количество складов]]</f>
        <v>74667.3</v>
      </c>
      <c r="I79" t="str">
        <f>--Таблица2_2[[#This Row],[Дата]]&amp;Таблица2_2[[#This Row],[Территория]]</f>
        <v>43954Пермь</v>
      </c>
    </row>
    <row r="80" spans="1:9" x14ac:dyDescent="0.25">
      <c r="A80" s="12">
        <v>43954</v>
      </c>
      <c r="B80" s="13" t="s">
        <v>19</v>
      </c>
      <c r="C80">
        <v>15</v>
      </c>
      <c r="D80">
        <v>455</v>
      </c>
      <c r="E80">
        <v>384</v>
      </c>
      <c r="F80" s="14">
        <f>INDEX(Лист1!$D:$D,MATCH(I80,Лист1!$J:$J,0))</f>
        <v>665302.5</v>
      </c>
      <c r="G80">
        <f>_xlfn.ISOWEEKNUM(Таблица2_2[[#This Row],[Дата]])</f>
        <v>18</v>
      </c>
      <c r="H80">
        <f>Таблица2_2[[#This Row],[Товарооборот, руб]]/Таблица2_2[[#This Row],[Количество складов]]</f>
        <v>44353.5</v>
      </c>
      <c r="I80" t="str">
        <f>--Таблица2_2[[#This Row],[Дата]]&amp;Таблица2_2[[#This Row],[Территория]]</f>
        <v>43954Ростов-на-Дону</v>
      </c>
    </row>
    <row r="81" spans="1:9" x14ac:dyDescent="0.25">
      <c r="A81" s="12">
        <v>43954</v>
      </c>
      <c r="B81" s="13" t="s">
        <v>15</v>
      </c>
      <c r="C81">
        <v>125</v>
      </c>
      <c r="D81">
        <v>18861</v>
      </c>
      <c r="E81">
        <v>17420</v>
      </c>
      <c r="F81" s="14">
        <f>INDEX(Лист1!$D:$D,MATCH(I81,Лист1!$J:$J,0))</f>
        <v>36631999.5</v>
      </c>
      <c r="G81">
        <f>_xlfn.ISOWEEKNUM(Таблица2_2[[#This Row],[Дата]])</f>
        <v>18</v>
      </c>
      <c r="H81">
        <f>Таблица2_2[[#This Row],[Товарооборот, руб]]/Таблица2_2[[#This Row],[Количество складов]]</f>
        <v>293055.99599999998</v>
      </c>
      <c r="I81" t="str">
        <f>--Таблица2_2[[#This Row],[Дата]]&amp;Таблица2_2[[#This Row],[Территория]]</f>
        <v>43954Санкт-Петербург Север</v>
      </c>
    </row>
    <row r="82" spans="1:9" x14ac:dyDescent="0.25">
      <c r="A82" s="12">
        <v>43954</v>
      </c>
      <c r="B82" s="13" t="s">
        <v>14</v>
      </c>
      <c r="C82">
        <v>129</v>
      </c>
      <c r="D82">
        <v>15778</v>
      </c>
      <c r="E82">
        <v>14624</v>
      </c>
      <c r="F82" s="14">
        <f>INDEX(Лист1!$D:$D,MATCH(I82,Лист1!$J:$J,0))</f>
        <v>28427001</v>
      </c>
      <c r="G82">
        <f>_xlfn.ISOWEEKNUM(Таблица2_2[[#This Row],[Дата]])</f>
        <v>18</v>
      </c>
      <c r="H82">
        <f>Таблица2_2[[#This Row],[Товарооборот, руб]]/Таблица2_2[[#This Row],[Количество складов]]</f>
        <v>220364.34883720931</v>
      </c>
      <c r="I82" t="str">
        <f>--Таблица2_2[[#This Row],[Дата]]&amp;Таблица2_2[[#This Row],[Территория]]</f>
        <v>43954Санкт-Петербург Юг</v>
      </c>
    </row>
    <row r="83" spans="1:9" x14ac:dyDescent="0.25">
      <c r="A83" s="12">
        <v>43954</v>
      </c>
      <c r="B83" s="13" t="s">
        <v>12</v>
      </c>
      <c r="C83">
        <v>10</v>
      </c>
      <c r="D83">
        <v>402</v>
      </c>
      <c r="E83">
        <v>333</v>
      </c>
      <c r="F83" s="14">
        <f>INDEX(Лист1!$D:$D,MATCH(I83,Лист1!$J:$J,0))</f>
        <v>637881</v>
      </c>
      <c r="G83">
        <f>_xlfn.ISOWEEKNUM(Таблица2_2[[#This Row],[Дата]])</f>
        <v>18</v>
      </c>
      <c r="H83">
        <f>Таблица2_2[[#This Row],[Товарооборот, руб]]/Таблица2_2[[#This Row],[Количество складов]]</f>
        <v>63788.1</v>
      </c>
      <c r="I83" t="str">
        <f>--Таблица2_2[[#This Row],[Дата]]&amp;Таблица2_2[[#This Row],[Территория]]</f>
        <v>43954Тольятти</v>
      </c>
    </row>
    <row r="84" spans="1:9" x14ac:dyDescent="0.25">
      <c r="A84" s="12">
        <v>43955</v>
      </c>
      <c r="B84" s="13" t="s">
        <v>16</v>
      </c>
      <c r="C84">
        <v>36</v>
      </c>
      <c r="D84">
        <v>4508</v>
      </c>
      <c r="E84">
        <v>4149</v>
      </c>
      <c r="F84" s="14">
        <f>INDEX(Лист1!$D:$D,MATCH(I84,Лист1!$J:$J,0))</f>
        <v>5561452.5</v>
      </c>
      <c r="G84">
        <f>_xlfn.ISOWEEKNUM(Таблица2_2[[#This Row],[Дата]])</f>
        <v>19</v>
      </c>
      <c r="H84">
        <f>Таблица2_2[[#This Row],[Товарооборот, руб]]/Таблица2_2[[#This Row],[Количество складов]]</f>
        <v>154484.79166666666</v>
      </c>
      <c r="I84" t="str">
        <f>--Таблица2_2[[#This Row],[Дата]]&amp;Таблица2_2[[#This Row],[Территория]]</f>
        <v>43955Волгоград</v>
      </c>
    </row>
    <row r="85" spans="1:9" x14ac:dyDescent="0.25">
      <c r="A85" s="12">
        <v>43955</v>
      </c>
      <c r="B85" s="13" t="s">
        <v>11</v>
      </c>
      <c r="C85">
        <v>31</v>
      </c>
      <c r="D85">
        <v>4968</v>
      </c>
      <c r="E85">
        <v>4596</v>
      </c>
      <c r="F85" s="14">
        <f>INDEX(Лист1!$D:$D,MATCH(I85,Лист1!$J:$J,0))</f>
        <v>6642249</v>
      </c>
      <c r="G85">
        <f>_xlfn.ISOWEEKNUM(Таблица2_2[[#This Row],[Дата]])</f>
        <v>19</v>
      </c>
      <c r="H85">
        <f>Таблица2_2[[#This Row],[Товарооборот, руб]]/Таблица2_2[[#This Row],[Количество складов]]</f>
        <v>214266.09677419355</v>
      </c>
      <c r="I85" t="str">
        <f>--Таблица2_2[[#This Row],[Дата]]&amp;Таблица2_2[[#This Row],[Территория]]</f>
        <v>43955Екатеринбург</v>
      </c>
    </row>
    <row r="86" spans="1:9" x14ac:dyDescent="0.25">
      <c r="A86" s="12">
        <v>43955</v>
      </c>
      <c r="B86" s="13" t="s">
        <v>17</v>
      </c>
      <c r="C86">
        <v>20</v>
      </c>
      <c r="D86">
        <v>1804</v>
      </c>
      <c r="E86">
        <v>1638</v>
      </c>
      <c r="F86" s="14">
        <f>INDEX(Лист1!$D:$D,MATCH(I86,Лист1!$J:$J,0))</f>
        <v>2817853.5</v>
      </c>
      <c r="G86">
        <f>_xlfn.ISOWEEKNUM(Таблица2_2[[#This Row],[Дата]])</f>
        <v>19</v>
      </c>
      <c r="H86">
        <f>Таблица2_2[[#This Row],[Товарооборот, руб]]/Таблица2_2[[#This Row],[Количество складов]]</f>
        <v>140892.67499999999</v>
      </c>
      <c r="I86" t="str">
        <f>--Таблица2_2[[#This Row],[Дата]]&amp;Таблица2_2[[#This Row],[Территория]]</f>
        <v>43955Казань</v>
      </c>
    </row>
    <row r="87" spans="1:9" x14ac:dyDescent="0.25">
      <c r="A87" s="12">
        <v>43955</v>
      </c>
      <c r="B87" s="13" t="s">
        <v>10</v>
      </c>
      <c r="C87">
        <v>20</v>
      </c>
      <c r="D87">
        <v>1519</v>
      </c>
      <c r="E87">
        <v>1372</v>
      </c>
      <c r="F87" s="14">
        <f>INDEX(Лист1!$D:$D,MATCH(I87,Лист1!$J:$J,0))</f>
        <v>2372310</v>
      </c>
      <c r="G87">
        <f>_xlfn.ISOWEEKNUM(Таблица2_2[[#This Row],[Дата]])</f>
        <v>19</v>
      </c>
      <c r="H87">
        <f>Таблица2_2[[#This Row],[Товарооборот, руб]]/Таблица2_2[[#This Row],[Количество складов]]</f>
        <v>118615.5</v>
      </c>
      <c r="I87" t="str">
        <f>--Таблица2_2[[#This Row],[Дата]]&amp;Таблица2_2[[#This Row],[Территория]]</f>
        <v>43955Кемерово</v>
      </c>
    </row>
    <row r="88" spans="1:9" x14ac:dyDescent="0.25">
      <c r="A88" s="12">
        <v>43955</v>
      </c>
      <c r="B88" s="13" t="s">
        <v>20</v>
      </c>
      <c r="C88">
        <v>19</v>
      </c>
      <c r="D88">
        <v>1479</v>
      </c>
      <c r="E88">
        <v>1346</v>
      </c>
      <c r="F88" s="14">
        <f>INDEX(Лист1!$D:$D,MATCH(I88,Лист1!$J:$J,0))</f>
        <v>2155668</v>
      </c>
      <c r="G88">
        <f>_xlfn.ISOWEEKNUM(Таблица2_2[[#This Row],[Дата]])</f>
        <v>19</v>
      </c>
      <c r="H88">
        <f>Таблица2_2[[#This Row],[Товарооборот, руб]]/Таблица2_2[[#This Row],[Количество складов]]</f>
        <v>113456.21052631579</v>
      </c>
      <c r="I88" t="str">
        <f>--Таблица2_2[[#This Row],[Дата]]&amp;Таблица2_2[[#This Row],[Территория]]</f>
        <v>43955Краснодар</v>
      </c>
    </row>
    <row r="89" spans="1:9" x14ac:dyDescent="0.25">
      <c r="A89" s="12">
        <v>43955</v>
      </c>
      <c r="B89" s="13" t="s">
        <v>22</v>
      </c>
      <c r="C89">
        <v>54</v>
      </c>
      <c r="D89">
        <v>13606</v>
      </c>
      <c r="E89">
        <v>12697</v>
      </c>
      <c r="F89" s="14">
        <f>INDEX(Лист1!$D:$D,MATCH(I89,Лист1!$J:$J,0))</f>
        <v>22796827.5</v>
      </c>
      <c r="G89">
        <f>_xlfn.ISOWEEKNUM(Таблица2_2[[#This Row],[Дата]])</f>
        <v>19</v>
      </c>
      <c r="H89">
        <f>Таблица2_2[[#This Row],[Товарооборот, руб]]/Таблица2_2[[#This Row],[Количество складов]]</f>
        <v>422163.47222222225</v>
      </c>
      <c r="I89" t="str">
        <f>--Таблица2_2[[#This Row],[Дата]]&amp;Таблица2_2[[#This Row],[Территория]]</f>
        <v>43955Москва Восток</v>
      </c>
    </row>
    <row r="90" spans="1:9" x14ac:dyDescent="0.25">
      <c r="A90" s="12">
        <v>43955</v>
      </c>
      <c r="B90" s="13" t="s">
        <v>21</v>
      </c>
      <c r="C90">
        <v>59</v>
      </c>
      <c r="D90">
        <v>14423</v>
      </c>
      <c r="E90">
        <v>13432</v>
      </c>
      <c r="F90" s="14">
        <f>INDEX(Лист1!$D:$D,MATCH(I90,Лист1!$J:$J,0))</f>
        <v>24292218</v>
      </c>
      <c r="G90">
        <f>_xlfn.ISOWEEKNUM(Таблица2_2[[#This Row],[Дата]])</f>
        <v>19</v>
      </c>
      <c r="H90">
        <f>Таблица2_2[[#This Row],[Товарооборот, руб]]/Таблица2_2[[#This Row],[Количество складов]]</f>
        <v>411732.50847457629</v>
      </c>
      <c r="I90" t="str">
        <f>--Таблица2_2[[#This Row],[Дата]]&amp;Таблица2_2[[#This Row],[Территория]]</f>
        <v>43955Москва Запад</v>
      </c>
    </row>
    <row r="91" spans="1:9" x14ac:dyDescent="0.25">
      <c r="A91" s="12">
        <v>43955</v>
      </c>
      <c r="B91" s="13" t="s">
        <v>13</v>
      </c>
      <c r="C91">
        <v>19</v>
      </c>
      <c r="D91">
        <v>1582</v>
      </c>
      <c r="E91">
        <v>1403</v>
      </c>
      <c r="F91" s="14">
        <f>INDEX(Лист1!$D:$D,MATCH(I91,Лист1!$J:$J,0))</f>
        <v>2450968.5</v>
      </c>
      <c r="G91">
        <f>_xlfn.ISOWEEKNUM(Таблица2_2[[#This Row],[Дата]])</f>
        <v>19</v>
      </c>
      <c r="H91">
        <f>Таблица2_2[[#This Row],[Товарооборот, руб]]/Таблица2_2[[#This Row],[Количество складов]]</f>
        <v>128998.34210526316</v>
      </c>
      <c r="I91" t="str">
        <f>--Таблица2_2[[#This Row],[Дата]]&amp;Таблица2_2[[#This Row],[Территория]]</f>
        <v>43955Нижний Новгород</v>
      </c>
    </row>
    <row r="92" spans="1:9" x14ac:dyDescent="0.25">
      <c r="A92" s="12">
        <v>43955</v>
      </c>
      <c r="B92" s="13" t="s">
        <v>23</v>
      </c>
      <c r="C92">
        <v>15</v>
      </c>
      <c r="D92">
        <v>622</v>
      </c>
      <c r="E92">
        <v>538</v>
      </c>
      <c r="F92" s="14">
        <f>INDEX(Лист1!$D:$D,MATCH(I92,Лист1!$J:$J,0))</f>
        <v>906343.5</v>
      </c>
      <c r="G92">
        <f>_xlfn.ISOWEEKNUM(Таблица2_2[[#This Row],[Дата]])</f>
        <v>19</v>
      </c>
      <c r="H92">
        <f>Таблица2_2[[#This Row],[Товарооборот, руб]]/Таблица2_2[[#This Row],[Количество складов]]</f>
        <v>60422.9</v>
      </c>
      <c r="I92" t="str">
        <f>--Таблица2_2[[#This Row],[Дата]]&amp;Таблица2_2[[#This Row],[Территория]]</f>
        <v>43955Новосибирск</v>
      </c>
    </row>
    <row r="93" spans="1:9" x14ac:dyDescent="0.25">
      <c r="A93" s="12">
        <v>43955</v>
      </c>
      <c r="B93" s="13" t="s">
        <v>18</v>
      </c>
      <c r="C93">
        <v>15</v>
      </c>
      <c r="D93">
        <v>750</v>
      </c>
      <c r="E93">
        <v>647</v>
      </c>
      <c r="F93" s="14">
        <f>INDEX(Лист1!$D:$D,MATCH(I93,Лист1!$J:$J,0))</f>
        <v>1085211</v>
      </c>
      <c r="G93">
        <f>_xlfn.ISOWEEKNUM(Таблица2_2[[#This Row],[Дата]])</f>
        <v>19</v>
      </c>
      <c r="H93">
        <f>Таблица2_2[[#This Row],[Товарооборот, руб]]/Таблица2_2[[#This Row],[Количество складов]]</f>
        <v>72347.399999999994</v>
      </c>
      <c r="I93" t="str">
        <f>--Таблица2_2[[#This Row],[Дата]]&amp;Таблица2_2[[#This Row],[Территория]]</f>
        <v>43955Пермь</v>
      </c>
    </row>
    <row r="94" spans="1:9" x14ac:dyDescent="0.25">
      <c r="A94" s="12">
        <v>43955</v>
      </c>
      <c r="B94" s="13" t="s">
        <v>19</v>
      </c>
      <c r="C94">
        <v>15</v>
      </c>
      <c r="D94">
        <v>390</v>
      </c>
      <c r="E94">
        <v>315</v>
      </c>
      <c r="F94" s="14">
        <f>INDEX(Лист1!$D:$D,MATCH(I94,Лист1!$J:$J,0))</f>
        <v>610855.5</v>
      </c>
      <c r="G94">
        <f>_xlfn.ISOWEEKNUM(Таблица2_2[[#This Row],[Дата]])</f>
        <v>19</v>
      </c>
      <c r="H94">
        <f>Таблица2_2[[#This Row],[Товарооборот, руб]]/Таблица2_2[[#This Row],[Количество складов]]</f>
        <v>40723.699999999997</v>
      </c>
      <c r="I94" t="str">
        <f>--Таблица2_2[[#This Row],[Дата]]&amp;Таблица2_2[[#This Row],[Территория]]</f>
        <v>43955Ростов-на-Дону</v>
      </c>
    </row>
    <row r="95" spans="1:9" x14ac:dyDescent="0.25">
      <c r="A95" s="12">
        <v>43955</v>
      </c>
      <c r="B95" s="13" t="s">
        <v>15</v>
      </c>
      <c r="C95">
        <v>125</v>
      </c>
      <c r="D95">
        <v>20495</v>
      </c>
      <c r="E95">
        <v>18964</v>
      </c>
      <c r="F95" s="14">
        <f>INDEX(Лист1!$D:$D,MATCH(I95,Лист1!$J:$J,0))</f>
        <v>38406954</v>
      </c>
      <c r="G95">
        <f>_xlfn.ISOWEEKNUM(Таблица2_2[[#This Row],[Дата]])</f>
        <v>19</v>
      </c>
      <c r="H95">
        <f>Таблица2_2[[#This Row],[Товарооборот, руб]]/Таблица2_2[[#This Row],[Количество складов]]</f>
        <v>307255.63199999998</v>
      </c>
      <c r="I95" t="str">
        <f>--Таблица2_2[[#This Row],[Дата]]&amp;Таблица2_2[[#This Row],[Территория]]</f>
        <v>43955Санкт-Петербург Север</v>
      </c>
    </row>
    <row r="96" spans="1:9" x14ac:dyDescent="0.25">
      <c r="A96" s="12">
        <v>43955</v>
      </c>
      <c r="B96" s="13" t="s">
        <v>14</v>
      </c>
      <c r="C96">
        <v>129</v>
      </c>
      <c r="D96">
        <v>16525</v>
      </c>
      <c r="E96">
        <v>15310</v>
      </c>
      <c r="F96" s="14">
        <f>INDEX(Лист1!$D:$D,MATCH(I96,Лист1!$J:$J,0))</f>
        <v>29357940</v>
      </c>
      <c r="G96">
        <f>_xlfn.ISOWEEKNUM(Таблица2_2[[#This Row],[Дата]])</f>
        <v>19</v>
      </c>
      <c r="H96">
        <f>Таблица2_2[[#This Row],[Товарооборот, руб]]/Таблица2_2[[#This Row],[Количество складов]]</f>
        <v>227580.93023255814</v>
      </c>
      <c r="I96" t="str">
        <f>--Таблица2_2[[#This Row],[Дата]]&amp;Таблица2_2[[#This Row],[Территория]]</f>
        <v>43955Санкт-Петербург Юг</v>
      </c>
    </row>
    <row r="97" spans="1:9" x14ac:dyDescent="0.25">
      <c r="A97" s="12">
        <v>43955</v>
      </c>
      <c r="B97" s="13" t="s">
        <v>12</v>
      </c>
      <c r="C97">
        <v>10</v>
      </c>
      <c r="D97">
        <v>462</v>
      </c>
      <c r="E97">
        <v>396</v>
      </c>
      <c r="F97" s="14">
        <f>INDEX(Лист1!$D:$D,MATCH(I97,Лист1!$J:$J,0))</f>
        <v>728890.5</v>
      </c>
      <c r="G97">
        <f>_xlfn.ISOWEEKNUM(Таблица2_2[[#This Row],[Дата]])</f>
        <v>19</v>
      </c>
      <c r="H97">
        <f>Таблица2_2[[#This Row],[Товарооборот, руб]]/Таблица2_2[[#This Row],[Количество складов]]</f>
        <v>72889.05</v>
      </c>
      <c r="I97" t="str">
        <f>--Таблица2_2[[#This Row],[Дата]]&amp;Таблица2_2[[#This Row],[Территория]]</f>
        <v>43955Тольятти</v>
      </c>
    </row>
    <row r="98" spans="1:9" x14ac:dyDescent="0.25">
      <c r="A98" s="12">
        <v>43956</v>
      </c>
      <c r="B98" s="13" t="s">
        <v>16</v>
      </c>
      <c r="C98">
        <v>36</v>
      </c>
      <c r="D98">
        <v>4575</v>
      </c>
      <c r="E98">
        <v>4206</v>
      </c>
      <c r="F98" s="14">
        <f>INDEX(Лист1!$D:$D,MATCH(I98,Лист1!$J:$J,0))</f>
        <v>5770539</v>
      </c>
      <c r="G98">
        <f>_xlfn.ISOWEEKNUM(Таблица2_2[[#This Row],[Дата]])</f>
        <v>19</v>
      </c>
      <c r="H98">
        <f>Таблица2_2[[#This Row],[Товарооборот, руб]]/Таблица2_2[[#This Row],[Количество складов]]</f>
        <v>160292.75</v>
      </c>
      <c r="I98" t="str">
        <f>--Таблица2_2[[#This Row],[Дата]]&amp;Таблица2_2[[#This Row],[Территория]]</f>
        <v>43956Волгоград</v>
      </c>
    </row>
    <row r="99" spans="1:9" x14ac:dyDescent="0.25">
      <c r="A99" s="12">
        <v>43956</v>
      </c>
      <c r="B99" s="13" t="s">
        <v>11</v>
      </c>
      <c r="C99">
        <v>31</v>
      </c>
      <c r="D99">
        <v>5188</v>
      </c>
      <c r="E99">
        <v>4800</v>
      </c>
      <c r="F99" s="14">
        <f>INDEX(Лист1!$D:$D,MATCH(I99,Лист1!$J:$J,0))</f>
        <v>6921316.5</v>
      </c>
      <c r="G99">
        <f>_xlfn.ISOWEEKNUM(Таблица2_2[[#This Row],[Дата]])</f>
        <v>19</v>
      </c>
      <c r="H99">
        <f>Таблица2_2[[#This Row],[Товарооборот, руб]]/Таблица2_2[[#This Row],[Количество складов]]</f>
        <v>223268.27419354839</v>
      </c>
      <c r="I99" t="str">
        <f>--Таблица2_2[[#This Row],[Дата]]&amp;Таблица2_2[[#This Row],[Территория]]</f>
        <v>43956Екатеринбург</v>
      </c>
    </row>
    <row r="100" spans="1:9" x14ac:dyDescent="0.25">
      <c r="A100" s="12">
        <v>43956</v>
      </c>
      <c r="B100" s="13" t="s">
        <v>17</v>
      </c>
      <c r="C100">
        <v>20</v>
      </c>
      <c r="D100">
        <v>1757</v>
      </c>
      <c r="E100">
        <v>1596</v>
      </c>
      <c r="F100" s="14">
        <f>INDEX(Лист1!$D:$D,MATCH(I100,Лист1!$J:$J,0))</f>
        <v>2648688</v>
      </c>
      <c r="G100">
        <f>_xlfn.ISOWEEKNUM(Таблица2_2[[#This Row],[Дата]])</f>
        <v>19</v>
      </c>
      <c r="H100">
        <f>Таблица2_2[[#This Row],[Товарооборот, руб]]/Таблица2_2[[#This Row],[Количество складов]]</f>
        <v>132434.4</v>
      </c>
      <c r="I100" t="str">
        <f>--Таблица2_2[[#This Row],[Дата]]&amp;Таблица2_2[[#This Row],[Территория]]</f>
        <v>43956Казань</v>
      </c>
    </row>
    <row r="101" spans="1:9" x14ac:dyDescent="0.25">
      <c r="A101" s="12">
        <v>43956</v>
      </c>
      <c r="B101" s="13" t="s">
        <v>10</v>
      </c>
      <c r="C101">
        <v>20</v>
      </c>
      <c r="D101">
        <v>1773</v>
      </c>
      <c r="E101">
        <v>1604</v>
      </c>
      <c r="F101" s="14">
        <f>INDEX(Лист1!$D:$D,MATCH(I101,Лист1!$J:$J,0))</f>
        <v>2906763</v>
      </c>
      <c r="G101">
        <f>_xlfn.ISOWEEKNUM(Таблица2_2[[#This Row],[Дата]])</f>
        <v>19</v>
      </c>
      <c r="H101">
        <f>Таблица2_2[[#This Row],[Товарооборот, руб]]/Таблица2_2[[#This Row],[Количество складов]]</f>
        <v>145338.15</v>
      </c>
      <c r="I101" t="str">
        <f>--Таблица2_2[[#This Row],[Дата]]&amp;Таблица2_2[[#This Row],[Территория]]</f>
        <v>43956Кемерово</v>
      </c>
    </row>
    <row r="102" spans="1:9" x14ac:dyDescent="0.25">
      <c r="A102" s="12">
        <v>43956</v>
      </c>
      <c r="B102" s="13" t="s">
        <v>20</v>
      </c>
      <c r="C102">
        <v>19</v>
      </c>
      <c r="D102">
        <v>1622</v>
      </c>
      <c r="E102">
        <v>1482</v>
      </c>
      <c r="F102" s="14">
        <f>INDEX(Лист1!$D:$D,MATCH(I102,Лист1!$J:$J,0))</f>
        <v>2380333.5</v>
      </c>
      <c r="G102">
        <f>_xlfn.ISOWEEKNUM(Таблица2_2[[#This Row],[Дата]])</f>
        <v>19</v>
      </c>
      <c r="H102">
        <f>Таблица2_2[[#This Row],[Товарооборот, руб]]/Таблица2_2[[#This Row],[Количество складов]]</f>
        <v>125280.71052631579</v>
      </c>
      <c r="I102" t="str">
        <f>--Таблица2_2[[#This Row],[Дата]]&amp;Таблица2_2[[#This Row],[Территория]]</f>
        <v>43956Краснодар</v>
      </c>
    </row>
    <row r="103" spans="1:9" x14ac:dyDescent="0.25">
      <c r="A103" s="12">
        <v>43956</v>
      </c>
      <c r="B103" s="13" t="s">
        <v>22</v>
      </c>
      <c r="C103">
        <v>54</v>
      </c>
      <c r="D103">
        <v>12775</v>
      </c>
      <c r="E103">
        <v>11887</v>
      </c>
      <c r="F103" s="14">
        <f>INDEX(Лист1!$D:$D,MATCH(I103,Лист1!$J:$J,0))</f>
        <v>20880142.5</v>
      </c>
      <c r="G103">
        <f>_xlfn.ISOWEEKNUM(Таблица2_2[[#This Row],[Дата]])</f>
        <v>19</v>
      </c>
      <c r="H103">
        <f>Таблица2_2[[#This Row],[Товарооборот, руб]]/Таблица2_2[[#This Row],[Количество складов]]</f>
        <v>386669.30555555556</v>
      </c>
      <c r="I103" t="str">
        <f>--Таблица2_2[[#This Row],[Дата]]&amp;Таблица2_2[[#This Row],[Территория]]</f>
        <v>43956Москва Восток</v>
      </c>
    </row>
    <row r="104" spans="1:9" x14ac:dyDescent="0.25">
      <c r="A104" s="12">
        <v>43956</v>
      </c>
      <c r="B104" s="13" t="s">
        <v>21</v>
      </c>
      <c r="C104">
        <v>59</v>
      </c>
      <c r="D104">
        <v>13469</v>
      </c>
      <c r="E104">
        <v>12486</v>
      </c>
      <c r="F104" s="14">
        <f>INDEX(Лист1!$D:$D,MATCH(I104,Лист1!$J:$J,0))</f>
        <v>21919435.5</v>
      </c>
      <c r="G104">
        <f>_xlfn.ISOWEEKNUM(Таблица2_2[[#This Row],[Дата]])</f>
        <v>19</v>
      </c>
      <c r="H104">
        <f>Таблица2_2[[#This Row],[Товарооборот, руб]]/Таблица2_2[[#This Row],[Количество складов]]</f>
        <v>371515.85593220341</v>
      </c>
      <c r="I104" t="str">
        <f>--Таблица2_2[[#This Row],[Дата]]&amp;Таблица2_2[[#This Row],[Территория]]</f>
        <v>43956Москва Запад</v>
      </c>
    </row>
    <row r="105" spans="1:9" x14ac:dyDescent="0.25">
      <c r="A105" s="12">
        <v>43956</v>
      </c>
      <c r="B105" s="13" t="s">
        <v>13</v>
      </c>
      <c r="C105">
        <v>19</v>
      </c>
      <c r="D105">
        <v>1417</v>
      </c>
      <c r="E105">
        <v>1245</v>
      </c>
      <c r="F105" s="14">
        <f>INDEX(Лист1!$D:$D,MATCH(I105,Лист1!$J:$J,0))</f>
        <v>2079900</v>
      </c>
      <c r="G105">
        <f>_xlfn.ISOWEEKNUM(Таблица2_2[[#This Row],[Дата]])</f>
        <v>19</v>
      </c>
      <c r="H105">
        <f>Таблица2_2[[#This Row],[Товарооборот, руб]]/Таблица2_2[[#This Row],[Количество складов]]</f>
        <v>109468.42105263157</v>
      </c>
      <c r="I105" t="str">
        <f>--Таблица2_2[[#This Row],[Дата]]&amp;Таблица2_2[[#This Row],[Территория]]</f>
        <v>43956Нижний Новгород</v>
      </c>
    </row>
    <row r="106" spans="1:9" x14ac:dyDescent="0.25">
      <c r="A106" s="12">
        <v>43956</v>
      </c>
      <c r="B106" s="13" t="s">
        <v>23</v>
      </c>
      <c r="C106">
        <v>15</v>
      </c>
      <c r="D106">
        <v>750</v>
      </c>
      <c r="E106">
        <v>658</v>
      </c>
      <c r="F106" s="14">
        <f>INDEX(Лист1!$D:$D,MATCH(I106,Лист1!$J:$J,0))</f>
        <v>1145575.5</v>
      </c>
      <c r="G106">
        <f>_xlfn.ISOWEEKNUM(Таблица2_2[[#This Row],[Дата]])</f>
        <v>19</v>
      </c>
      <c r="H106">
        <f>Таблица2_2[[#This Row],[Товарооборот, руб]]/Таблица2_2[[#This Row],[Количество складов]]</f>
        <v>76371.7</v>
      </c>
      <c r="I106" t="str">
        <f>--Таблица2_2[[#This Row],[Дата]]&amp;Таблица2_2[[#This Row],[Территория]]</f>
        <v>43956Новосибирск</v>
      </c>
    </row>
    <row r="107" spans="1:9" x14ac:dyDescent="0.25">
      <c r="A107" s="12">
        <v>43956</v>
      </c>
      <c r="B107" s="13" t="s">
        <v>18</v>
      </c>
      <c r="C107">
        <v>15</v>
      </c>
      <c r="D107">
        <v>922</v>
      </c>
      <c r="E107">
        <v>823</v>
      </c>
      <c r="F107" s="14">
        <f>INDEX(Лист1!$D:$D,MATCH(I107,Лист1!$J:$J,0))</f>
        <v>1384179</v>
      </c>
      <c r="G107">
        <f>_xlfn.ISOWEEKNUM(Таблица2_2[[#This Row],[Дата]])</f>
        <v>19</v>
      </c>
      <c r="H107">
        <f>Таблица2_2[[#This Row],[Товарооборот, руб]]/Таблица2_2[[#This Row],[Количество складов]]</f>
        <v>92278.6</v>
      </c>
      <c r="I107" t="str">
        <f>--Таблица2_2[[#This Row],[Дата]]&amp;Таблица2_2[[#This Row],[Территория]]</f>
        <v>43956Пермь</v>
      </c>
    </row>
    <row r="108" spans="1:9" x14ac:dyDescent="0.25">
      <c r="A108" s="12">
        <v>43956</v>
      </c>
      <c r="B108" s="13" t="s">
        <v>19</v>
      </c>
      <c r="C108">
        <v>15</v>
      </c>
      <c r="D108">
        <v>455</v>
      </c>
      <c r="E108">
        <v>381</v>
      </c>
      <c r="F108" s="14">
        <f>INDEX(Лист1!$D:$D,MATCH(I108,Лист1!$J:$J,0))</f>
        <v>694593</v>
      </c>
      <c r="G108">
        <f>_xlfn.ISOWEEKNUM(Таблица2_2[[#This Row],[Дата]])</f>
        <v>19</v>
      </c>
      <c r="H108">
        <f>Таблица2_2[[#This Row],[Товарооборот, руб]]/Таблица2_2[[#This Row],[Количество складов]]</f>
        <v>46306.2</v>
      </c>
      <c r="I108" t="str">
        <f>--Таблица2_2[[#This Row],[Дата]]&amp;Таблица2_2[[#This Row],[Территория]]</f>
        <v>43956Ростов-на-Дону</v>
      </c>
    </row>
    <row r="109" spans="1:9" x14ac:dyDescent="0.25">
      <c r="A109" s="12">
        <v>43956</v>
      </c>
      <c r="B109" s="13" t="s">
        <v>15</v>
      </c>
      <c r="C109">
        <v>125</v>
      </c>
      <c r="D109">
        <v>18944</v>
      </c>
      <c r="E109">
        <v>17541</v>
      </c>
      <c r="F109" s="14">
        <f>INDEX(Лист1!$D:$D,MATCH(I109,Лист1!$J:$J,0))</f>
        <v>35671734</v>
      </c>
      <c r="G109">
        <f>_xlfn.ISOWEEKNUM(Таблица2_2[[#This Row],[Дата]])</f>
        <v>19</v>
      </c>
      <c r="H109">
        <f>Таблица2_2[[#This Row],[Товарооборот, руб]]/Таблица2_2[[#This Row],[Количество складов]]</f>
        <v>285373.87199999997</v>
      </c>
      <c r="I109" t="str">
        <f>--Таблица2_2[[#This Row],[Дата]]&amp;Таблица2_2[[#This Row],[Территория]]</f>
        <v>43956Санкт-Петербург Север</v>
      </c>
    </row>
    <row r="110" spans="1:9" x14ac:dyDescent="0.25">
      <c r="A110" s="12">
        <v>43956</v>
      </c>
      <c r="B110" s="13" t="s">
        <v>14</v>
      </c>
      <c r="C110">
        <v>129</v>
      </c>
      <c r="D110">
        <v>15665</v>
      </c>
      <c r="E110">
        <v>14501</v>
      </c>
      <c r="F110" s="14">
        <f>INDEX(Лист1!$D:$D,MATCH(I110,Лист1!$J:$J,0))</f>
        <v>27278441.145</v>
      </c>
      <c r="G110">
        <f>_xlfn.ISOWEEKNUM(Таблица2_2[[#This Row],[Дата]])</f>
        <v>19</v>
      </c>
      <c r="H110">
        <f>Таблица2_2[[#This Row],[Товарооборот, руб]]/Таблица2_2[[#This Row],[Количество складов]]</f>
        <v>211460.78406976743</v>
      </c>
      <c r="I110" t="str">
        <f>--Таблица2_2[[#This Row],[Дата]]&amp;Таблица2_2[[#This Row],[Территория]]</f>
        <v>43956Санкт-Петербург Юг</v>
      </c>
    </row>
    <row r="111" spans="1:9" x14ac:dyDescent="0.25">
      <c r="A111" s="12">
        <v>43956</v>
      </c>
      <c r="B111" s="13" t="s">
        <v>12</v>
      </c>
      <c r="C111">
        <v>10</v>
      </c>
      <c r="D111">
        <v>511</v>
      </c>
      <c r="E111">
        <v>437</v>
      </c>
      <c r="F111" s="14">
        <f>INDEX(Лист1!$D:$D,MATCH(I111,Лист1!$J:$J,0))</f>
        <v>793320</v>
      </c>
      <c r="G111">
        <f>_xlfn.ISOWEEKNUM(Таблица2_2[[#This Row],[Дата]])</f>
        <v>19</v>
      </c>
      <c r="H111">
        <f>Таблица2_2[[#This Row],[Товарооборот, руб]]/Таблица2_2[[#This Row],[Количество складов]]</f>
        <v>79332</v>
      </c>
      <c r="I111" t="str">
        <f>--Таблица2_2[[#This Row],[Дата]]&amp;Таблица2_2[[#This Row],[Территория]]</f>
        <v>43956Тольятти</v>
      </c>
    </row>
    <row r="112" spans="1:9" x14ac:dyDescent="0.25">
      <c r="A112" s="12">
        <v>43957</v>
      </c>
      <c r="B112" s="13" t="s">
        <v>16</v>
      </c>
      <c r="C112">
        <v>36</v>
      </c>
      <c r="D112">
        <v>4384</v>
      </c>
      <c r="E112">
        <v>4025</v>
      </c>
      <c r="F112" s="14">
        <f>INDEX(Лист1!$D:$D,MATCH(I112,Лист1!$J:$J,0))</f>
        <v>5454121.5</v>
      </c>
      <c r="G112">
        <f>_xlfn.ISOWEEKNUM(Таблица2_2[[#This Row],[Дата]])</f>
        <v>19</v>
      </c>
      <c r="H112">
        <f>Таблица2_2[[#This Row],[Товарооборот, руб]]/Таблица2_2[[#This Row],[Количество складов]]</f>
        <v>151503.375</v>
      </c>
      <c r="I112" t="str">
        <f>--Таблица2_2[[#This Row],[Дата]]&amp;Таблица2_2[[#This Row],[Территория]]</f>
        <v>43957Волгоград</v>
      </c>
    </row>
    <row r="113" spans="1:9" x14ac:dyDescent="0.25">
      <c r="A113" s="12">
        <v>43957</v>
      </c>
      <c r="B113" s="13" t="s">
        <v>11</v>
      </c>
      <c r="C113">
        <v>31</v>
      </c>
      <c r="D113">
        <v>4709</v>
      </c>
      <c r="E113">
        <v>4348</v>
      </c>
      <c r="F113" s="14">
        <f>INDEX(Лист1!$D:$D,MATCH(I113,Лист1!$J:$J,0))</f>
        <v>6168657</v>
      </c>
      <c r="G113">
        <f>_xlfn.ISOWEEKNUM(Таблица2_2[[#This Row],[Дата]])</f>
        <v>19</v>
      </c>
      <c r="H113">
        <f>Таблица2_2[[#This Row],[Товарооборот, руб]]/Таблица2_2[[#This Row],[Количество складов]]</f>
        <v>198988.93548387097</v>
      </c>
      <c r="I113" t="str">
        <f>--Таблица2_2[[#This Row],[Дата]]&amp;Таблица2_2[[#This Row],[Территория]]</f>
        <v>43957Екатеринбург</v>
      </c>
    </row>
    <row r="114" spans="1:9" x14ac:dyDescent="0.25">
      <c r="A114" s="12">
        <v>43957</v>
      </c>
      <c r="B114" s="13" t="s">
        <v>17</v>
      </c>
      <c r="C114">
        <v>20</v>
      </c>
      <c r="D114">
        <v>1747</v>
      </c>
      <c r="E114">
        <v>1570</v>
      </c>
      <c r="F114" s="14">
        <f>INDEX(Лист1!$D:$D,MATCH(I114,Лист1!$J:$J,0))</f>
        <v>2738127</v>
      </c>
      <c r="G114">
        <f>_xlfn.ISOWEEKNUM(Таблица2_2[[#This Row],[Дата]])</f>
        <v>19</v>
      </c>
      <c r="H114">
        <f>Таблица2_2[[#This Row],[Товарооборот, руб]]/Таблица2_2[[#This Row],[Количество складов]]</f>
        <v>136906.35</v>
      </c>
      <c r="I114" t="str">
        <f>--Таблица2_2[[#This Row],[Дата]]&amp;Таблица2_2[[#This Row],[Территория]]</f>
        <v>43957Казань</v>
      </c>
    </row>
    <row r="115" spans="1:9" x14ac:dyDescent="0.25">
      <c r="A115" s="12">
        <v>43957</v>
      </c>
      <c r="B115" s="13" t="s">
        <v>10</v>
      </c>
      <c r="C115">
        <v>20</v>
      </c>
      <c r="D115">
        <v>1784</v>
      </c>
      <c r="E115">
        <v>1632</v>
      </c>
      <c r="F115" s="14">
        <f>INDEX(Лист1!$D:$D,MATCH(I115,Лист1!$J:$J,0))</f>
        <v>2938623</v>
      </c>
      <c r="G115">
        <f>_xlfn.ISOWEEKNUM(Таблица2_2[[#This Row],[Дата]])</f>
        <v>19</v>
      </c>
      <c r="H115">
        <f>Таблица2_2[[#This Row],[Товарооборот, руб]]/Таблица2_2[[#This Row],[Количество складов]]</f>
        <v>146931.15</v>
      </c>
      <c r="I115" t="str">
        <f>--Таблица2_2[[#This Row],[Дата]]&amp;Таблица2_2[[#This Row],[Территория]]</f>
        <v>43957Кемерово</v>
      </c>
    </row>
    <row r="116" spans="1:9" x14ac:dyDescent="0.25">
      <c r="A116" s="12">
        <v>43957</v>
      </c>
      <c r="B116" s="13" t="s">
        <v>20</v>
      </c>
      <c r="C116">
        <v>19</v>
      </c>
      <c r="D116">
        <v>1509</v>
      </c>
      <c r="E116">
        <v>1374</v>
      </c>
      <c r="F116" s="14">
        <f>INDEX(Лист1!$D:$D,MATCH(I116,Лист1!$J:$J,0))</f>
        <v>2159350.5</v>
      </c>
      <c r="G116">
        <f>_xlfn.ISOWEEKNUM(Таблица2_2[[#This Row],[Дата]])</f>
        <v>19</v>
      </c>
      <c r="H116">
        <f>Таблица2_2[[#This Row],[Товарооборот, руб]]/Таблица2_2[[#This Row],[Количество складов]]</f>
        <v>113650.02631578948</v>
      </c>
      <c r="I116" t="str">
        <f>--Таблица2_2[[#This Row],[Дата]]&amp;Таблица2_2[[#This Row],[Территория]]</f>
        <v>43957Краснодар</v>
      </c>
    </row>
    <row r="117" spans="1:9" x14ac:dyDescent="0.25">
      <c r="A117" s="12">
        <v>43957</v>
      </c>
      <c r="B117" s="13" t="s">
        <v>22</v>
      </c>
      <c r="C117">
        <v>54</v>
      </c>
      <c r="D117">
        <v>13406</v>
      </c>
      <c r="E117">
        <v>12518</v>
      </c>
      <c r="F117" s="14">
        <f>INDEX(Лист1!$D:$D,MATCH(I117,Лист1!$J:$J,0))</f>
        <v>22126444.5</v>
      </c>
      <c r="G117">
        <f>_xlfn.ISOWEEKNUM(Таблица2_2[[#This Row],[Дата]])</f>
        <v>19</v>
      </c>
      <c r="H117">
        <f>Таблица2_2[[#This Row],[Товарооборот, руб]]/Таблица2_2[[#This Row],[Количество складов]]</f>
        <v>409748.97222222225</v>
      </c>
      <c r="I117" t="str">
        <f>--Таблица2_2[[#This Row],[Дата]]&amp;Таблица2_2[[#This Row],[Территория]]</f>
        <v>43957Москва Восток</v>
      </c>
    </row>
    <row r="118" spans="1:9" x14ac:dyDescent="0.25">
      <c r="A118" s="12">
        <v>43957</v>
      </c>
      <c r="B118" s="13" t="s">
        <v>21</v>
      </c>
      <c r="C118">
        <v>59</v>
      </c>
      <c r="D118">
        <v>14103</v>
      </c>
      <c r="E118">
        <v>13118</v>
      </c>
      <c r="F118" s="14">
        <f>INDEX(Лист1!$D:$D,MATCH(I118,Лист1!$J:$J,0))</f>
        <v>23032992</v>
      </c>
      <c r="G118">
        <f>_xlfn.ISOWEEKNUM(Таблица2_2[[#This Row],[Дата]])</f>
        <v>19</v>
      </c>
      <c r="H118">
        <f>Таблица2_2[[#This Row],[Товарооборот, руб]]/Таблица2_2[[#This Row],[Количество складов]]</f>
        <v>390389.69491525425</v>
      </c>
      <c r="I118" t="str">
        <f>--Таблица2_2[[#This Row],[Дата]]&amp;Таблица2_2[[#This Row],[Территория]]</f>
        <v>43957Москва Запад</v>
      </c>
    </row>
    <row r="119" spans="1:9" x14ac:dyDescent="0.25">
      <c r="A119" s="12">
        <v>43957</v>
      </c>
      <c r="B119" s="13" t="s">
        <v>13</v>
      </c>
      <c r="C119">
        <v>19</v>
      </c>
      <c r="D119">
        <v>1499</v>
      </c>
      <c r="E119">
        <v>1323</v>
      </c>
      <c r="F119" s="14">
        <f>INDEX(Лист1!$D:$D,MATCH(I119,Лист1!$J:$J,0))</f>
        <v>2232519</v>
      </c>
      <c r="G119">
        <f>_xlfn.ISOWEEKNUM(Таблица2_2[[#This Row],[Дата]])</f>
        <v>19</v>
      </c>
      <c r="H119">
        <f>Таблица2_2[[#This Row],[Товарооборот, руб]]/Таблица2_2[[#This Row],[Количество складов]]</f>
        <v>117501</v>
      </c>
      <c r="I119" t="str">
        <f>--Таблица2_2[[#This Row],[Дата]]&amp;Таблица2_2[[#This Row],[Территория]]</f>
        <v>43957Нижний Новгород</v>
      </c>
    </row>
    <row r="120" spans="1:9" x14ac:dyDescent="0.25">
      <c r="A120" s="12">
        <v>43957</v>
      </c>
      <c r="B120" s="13" t="s">
        <v>23</v>
      </c>
      <c r="C120">
        <v>15</v>
      </c>
      <c r="D120">
        <v>701</v>
      </c>
      <c r="E120">
        <v>611</v>
      </c>
      <c r="F120" s="14">
        <f>INDEX(Лист1!$D:$D,MATCH(I120,Лист1!$J:$J,0))</f>
        <v>1016566.5</v>
      </c>
      <c r="G120">
        <f>_xlfn.ISOWEEKNUM(Таблица2_2[[#This Row],[Дата]])</f>
        <v>19</v>
      </c>
      <c r="H120">
        <f>Таблица2_2[[#This Row],[Товарооборот, руб]]/Таблица2_2[[#This Row],[Количество складов]]</f>
        <v>67771.100000000006</v>
      </c>
      <c r="I120" t="str">
        <f>--Таблица2_2[[#This Row],[Дата]]&amp;Таблица2_2[[#This Row],[Территория]]</f>
        <v>43957Новосибирск</v>
      </c>
    </row>
    <row r="121" spans="1:9" x14ac:dyDescent="0.25">
      <c r="A121" s="12">
        <v>43957</v>
      </c>
      <c r="B121" s="13" t="s">
        <v>18</v>
      </c>
      <c r="C121">
        <v>15</v>
      </c>
      <c r="D121">
        <v>839</v>
      </c>
      <c r="E121">
        <v>733</v>
      </c>
      <c r="F121" s="14">
        <f>INDEX(Лист1!$D:$D,MATCH(I121,Лист1!$J:$J,0))</f>
        <v>1221057</v>
      </c>
      <c r="G121">
        <f>_xlfn.ISOWEEKNUM(Таблица2_2[[#This Row],[Дата]])</f>
        <v>19</v>
      </c>
      <c r="H121">
        <f>Таблица2_2[[#This Row],[Товарооборот, руб]]/Таблица2_2[[#This Row],[Количество складов]]</f>
        <v>81403.8</v>
      </c>
      <c r="I121" t="str">
        <f>--Таблица2_2[[#This Row],[Дата]]&amp;Таблица2_2[[#This Row],[Территория]]</f>
        <v>43957Пермь</v>
      </c>
    </row>
    <row r="122" spans="1:9" x14ac:dyDescent="0.25">
      <c r="A122" s="12">
        <v>43957</v>
      </c>
      <c r="B122" s="13" t="s">
        <v>19</v>
      </c>
      <c r="C122">
        <v>15</v>
      </c>
      <c r="D122">
        <v>467</v>
      </c>
      <c r="E122">
        <v>389</v>
      </c>
      <c r="F122" s="14">
        <f>INDEX(Лист1!$D:$D,MATCH(I122,Лист1!$J:$J,0))</f>
        <v>739291.5</v>
      </c>
      <c r="G122">
        <f>_xlfn.ISOWEEKNUM(Таблица2_2[[#This Row],[Дата]])</f>
        <v>19</v>
      </c>
      <c r="H122">
        <f>Таблица2_2[[#This Row],[Товарооборот, руб]]/Таблица2_2[[#This Row],[Количество складов]]</f>
        <v>49286.1</v>
      </c>
      <c r="I122" t="str">
        <f>--Таблица2_2[[#This Row],[Дата]]&amp;Таблица2_2[[#This Row],[Территория]]</f>
        <v>43957Ростов-на-Дону</v>
      </c>
    </row>
    <row r="123" spans="1:9" x14ac:dyDescent="0.25">
      <c r="A123" s="12">
        <v>43957</v>
      </c>
      <c r="B123" s="13" t="s">
        <v>15</v>
      </c>
      <c r="C123">
        <v>125</v>
      </c>
      <c r="D123">
        <v>20218</v>
      </c>
      <c r="E123">
        <v>18647</v>
      </c>
      <c r="F123" s="14">
        <f>INDEX(Лист1!$D:$D,MATCH(I123,Лист1!$J:$J,0))</f>
        <v>38092344</v>
      </c>
      <c r="G123">
        <f>_xlfn.ISOWEEKNUM(Таблица2_2[[#This Row],[Дата]])</f>
        <v>19</v>
      </c>
      <c r="H123">
        <f>Таблица2_2[[#This Row],[Товарооборот, руб]]/Таблица2_2[[#This Row],[Количество складов]]</f>
        <v>304738.75199999998</v>
      </c>
      <c r="I123" t="str">
        <f>--Таблица2_2[[#This Row],[Дата]]&amp;Таблица2_2[[#This Row],[Территория]]</f>
        <v>43957Санкт-Петербург Север</v>
      </c>
    </row>
    <row r="124" spans="1:9" x14ac:dyDescent="0.25">
      <c r="A124" s="12">
        <v>43957</v>
      </c>
      <c r="B124" s="13" t="s">
        <v>14</v>
      </c>
      <c r="C124">
        <v>129</v>
      </c>
      <c r="D124">
        <v>16376</v>
      </c>
      <c r="E124">
        <v>15197</v>
      </c>
      <c r="F124" s="14">
        <f>INDEX(Лист1!$D:$D,MATCH(I124,Лист1!$J:$J,0))</f>
        <v>28770810.105599999</v>
      </c>
      <c r="G124">
        <f>_xlfn.ISOWEEKNUM(Таблица2_2[[#This Row],[Дата]])</f>
        <v>19</v>
      </c>
      <c r="H124">
        <f>Таблица2_2[[#This Row],[Товарооборот, руб]]/Таблица2_2[[#This Row],[Количество складов]]</f>
        <v>223029.53570232558</v>
      </c>
      <c r="I124" t="str">
        <f>--Таблица2_2[[#This Row],[Дата]]&amp;Таблица2_2[[#This Row],[Территория]]</f>
        <v>43957Санкт-Петербург Юг</v>
      </c>
    </row>
    <row r="125" spans="1:9" x14ac:dyDescent="0.25">
      <c r="A125" s="12">
        <v>43957</v>
      </c>
      <c r="B125" s="13" t="s">
        <v>12</v>
      </c>
      <c r="C125">
        <v>10</v>
      </c>
      <c r="D125">
        <v>465</v>
      </c>
      <c r="E125">
        <v>390</v>
      </c>
      <c r="F125" s="14">
        <f>INDEX(Лист1!$D:$D,MATCH(I125,Лист1!$J:$J,0))</f>
        <v>696832.5</v>
      </c>
      <c r="G125">
        <f>_xlfn.ISOWEEKNUM(Таблица2_2[[#This Row],[Дата]])</f>
        <v>19</v>
      </c>
      <c r="H125">
        <f>Таблица2_2[[#This Row],[Товарооборот, руб]]/Таблица2_2[[#This Row],[Количество складов]]</f>
        <v>69683.25</v>
      </c>
      <c r="I125" t="str">
        <f>--Таблица2_2[[#This Row],[Дата]]&amp;Таблица2_2[[#This Row],[Территория]]</f>
        <v>43957Тольятти</v>
      </c>
    </row>
    <row r="126" spans="1:9" x14ac:dyDescent="0.25">
      <c r="A126" s="12">
        <v>43958</v>
      </c>
      <c r="B126" s="13" t="s">
        <v>16</v>
      </c>
      <c r="C126">
        <v>36</v>
      </c>
      <c r="D126">
        <v>4826</v>
      </c>
      <c r="E126">
        <v>4426</v>
      </c>
      <c r="F126" s="14">
        <f>INDEX(Лист1!$D:$D,MATCH(I126,Лист1!$J:$J,0))</f>
        <v>6175837.5</v>
      </c>
      <c r="G126">
        <f>_xlfn.ISOWEEKNUM(Таблица2_2[[#This Row],[Дата]])</f>
        <v>19</v>
      </c>
      <c r="H126">
        <f>Таблица2_2[[#This Row],[Товарооборот, руб]]/Таблица2_2[[#This Row],[Количество складов]]</f>
        <v>171551.04166666666</v>
      </c>
      <c r="I126" t="str">
        <f>--Таблица2_2[[#This Row],[Дата]]&amp;Таблица2_2[[#This Row],[Территория]]</f>
        <v>43958Волгоград</v>
      </c>
    </row>
    <row r="127" spans="1:9" x14ac:dyDescent="0.25">
      <c r="A127" s="12">
        <v>43958</v>
      </c>
      <c r="B127" s="13" t="s">
        <v>11</v>
      </c>
      <c r="C127">
        <v>31</v>
      </c>
      <c r="D127">
        <v>4903</v>
      </c>
      <c r="E127">
        <v>4527</v>
      </c>
      <c r="F127" s="14">
        <f>INDEX(Лист1!$D:$D,MATCH(I127,Лист1!$J:$J,0))</f>
        <v>6591883.5</v>
      </c>
      <c r="G127">
        <f>_xlfn.ISOWEEKNUM(Таблица2_2[[#This Row],[Дата]])</f>
        <v>19</v>
      </c>
      <c r="H127">
        <f>Таблица2_2[[#This Row],[Товарооборот, руб]]/Таблица2_2[[#This Row],[Количество складов]]</f>
        <v>212641.40322580645</v>
      </c>
      <c r="I127" t="str">
        <f>--Таблица2_2[[#This Row],[Дата]]&amp;Таблица2_2[[#This Row],[Территория]]</f>
        <v>43958Екатеринбург</v>
      </c>
    </row>
    <row r="128" spans="1:9" x14ac:dyDescent="0.25">
      <c r="A128" s="12">
        <v>43958</v>
      </c>
      <c r="B128" s="13" t="s">
        <v>17</v>
      </c>
      <c r="C128">
        <v>21</v>
      </c>
      <c r="D128">
        <v>1879</v>
      </c>
      <c r="E128">
        <v>1695</v>
      </c>
      <c r="F128" s="14">
        <f>INDEX(Лист1!$D:$D,MATCH(I128,Лист1!$J:$J,0))</f>
        <v>2934504</v>
      </c>
      <c r="G128">
        <f>_xlfn.ISOWEEKNUM(Таблица2_2[[#This Row],[Дата]])</f>
        <v>19</v>
      </c>
      <c r="H128">
        <f>Таблица2_2[[#This Row],[Товарооборот, руб]]/Таблица2_2[[#This Row],[Количество складов]]</f>
        <v>139738.28571428571</v>
      </c>
      <c r="I128" t="str">
        <f>--Таблица2_2[[#This Row],[Дата]]&amp;Таблица2_2[[#This Row],[Территория]]</f>
        <v>43958Казань</v>
      </c>
    </row>
    <row r="129" spans="1:9" x14ac:dyDescent="0.25">
      <c r="A129" s="12">
        <v>43958</v>
      </c>
      <c r="B129" s="13" t="s">
        <v>10</v>
      </c>
      <c r="C129">
        <v>21</v>
      </c>
      <c r="D129">
        <v>1542</v>
      </c>
      <c r="E129">
        <v>1405</v>
      </c>
      <c r="F129" s="14">
        <f>INDEX(Лист1!$D:$D,MATCH(I129,Лист1!$J:$J,0))</f>
        <v>2472213</v>
      </c>
      <c r="G129">
        <f>_xlfn.ISOWEEKNUM(Таблица2_2[[#This Row],[Дата]])</f>
        <v>19</v>
      </c>
      <c r="H129">
        <f>Таблица2_2[[#This Row],[Товарооборот, руб]]/Таблица2_2[[#This Row],[Количество складов]]</f>
        <v>117724.42857142857</v>
      </c>
      <c r="I129" t="str">
        <f>--Таблица2_2[[#This Row],[Дата]]&amp;Таблица2_2[[#This Row],[Территория]]</f>
        <v>43958Кемерово</v>
      </c>
    </row>
    <row r="130" spans="1:9" x14ac:dyDescent="0.25">
      <c r="A130" s="12">
        <v>43958</v>
      </c>
      <c r="B130" s="13" t="s">
        <v>20</v>
      </c>
      <c r="C130">
        <v>19</v>
      </c>
      <c r="D130">
        <v>1580</v>
      </c>
      <c r="E130">
        <v>1435</v>
      </c>
      <c r="F130" s="14">
        <f>INDEX(Лист1!$D:$D,MATCH(I130,Лист1!$J:$J,0))</f>
        <v>2308336.5</v>
      </c>
      <c r="G130">
        <f>_xlfn.ISOWEEKNUM(Таблица2_2[[#This Row],[Дата]])</f>
        <v>19</v>
      </c>
      <c r="H130">
        <f>Таблица2_2[[#This Row],[Товарооборот, руб]]/Таблица2_2[[#This Row],[Количество складов]]</f>
        <v>121491.39473684211</v>
      </c>
      <c r="I130" t="str">
        <f>--Таблица2_2[[#This Row],[Дата]]&amp;Таблица2_2[[#This Row],[Территория]]</f>
        <v>43958Краснодар</v>
      </c>
    </row>
    <row r="131" spans="1:9" x14ac:dyDescent="0.25">
      <c r="A131" s="12">
        <v>43958</v>
      </c>
      <c r="B131" s="13" t="s">
        <v>22</v>
      </c>
      <c r="C131">
        <v>54</v>
      </c>
      <c r="D131">
        <v>12743</v>
      </c>
      <c r="E131">
        <v>11858</v>
      </c>
      <c r="F131" s="14">
        <f>INDEX(Лист1!$D:$D,MATCH(I131,Лист1!$J:$J,0))</f>
        <v>21463023</v>
      </c>
      <c r="G131">
        <f>_xlfn.ISOWEEKNUM(Таблица2_2[[#This Row],[Дата]])</f>
        <v>19</v>
      </c>
      <c r="H131">
        <f>Таблица2_2[[#This Row],[Товарооборот, руб]]/Таблица2_2[[#This Row],[Количество складов]]</f>
        <v>397463.38888888888</v>
      </c>
      <c r="I131" t="str">
        <f>--Таблица2_2[[#This Row],[Дата]]&amp;Таблица2_2[[#This Row],[Территория]]</f>
        <v>43958Москва Восток</v>
      </c>
    </row>
    <row r="132" spans="1:9" x14ac:dyDescent="0.25">
      <c r="A132" s="12">
        <v>43958</v>
      </c>
      <c r="B132" s="13" t="s">
        <v>21</v>
      </c>
      <c r="C132">
        <v>59</v>
      </c>
      <c r="D132">
        <v>13495</v>
      </c>
      <c r="E132">
        <v>12517</v>
      </c>
      <c r="F132" s="14">
        <f>INDEX(Лист1!$D:$D,MATCH(I132,Лист1!$J:$J,0))</f>
        <v>22460130</v>
      </c>
      <c r="G132">
        <f>_xlfn.ISOWEEKNUM(Таблица2_2[[#This Row],[Дата]])</f>
        <v>19</v>
      </c>
      <c r="H132">
        <f>Таблица2_2[[#This Row],[Товарооборот, руб]]/Таблица2_2[[#This Row],[Количество складов]]</f>
        <v>380680.16949152545</v>
      </c>
      <c r="I132" t="str">
        <f>--Таблица2_2[[#This Row],[Дата]]&amp;Таблица2_2[[#This Row],[Территория]]</f>
        <v>43958Москва Запад</v>
      </c>
    </row>
    <row r="133" spans="1:9" x14ac:dyDescent="0.25">
      <c r="A133" s="12">
        <v>43958</v>
      </c>
      <c r="B133" s="13" t="s">
        <v>13</v>
      </c>
      <c r="C133">
        <v>19</v>
      </c>
      <c r="D133">
        <v>1530</v>
      </c>
      <c r="E133">
        <v>1338</v>
      </c>
      <c r="F133" s="14">
        <f>INDEX(Лист1!$D:$D,MATCH(I133,Лист1!$J:$J,0))</f>
        <v>2350672.5</v>
      </c>
      <c r="G133">
        <f>_xlfn.ISOWEEKNUM(Таблица2_2[[#This Row],[Дата]])</f>
        <v>19</v>
      </c>
      <c r="H133">
        <f>Таблица2_2[[#This Row],[Товарооборот, руб]]/Таблица2_2[[#This Row],[Количество складов]]</f>
        <v>123719.60526315789</v>
      </c>
      <c r="I133" t="str">
        <f>--Таблица2_2[[#This Row],[Дата]]&amp;Таблица2_2[[#This Row],[Территория]]</f>
        <v>43958Нижний Новгород</v>
      </c>
    </row>
    <row r="134" spans="1:9" x14ac:dyDescent="0.25">
      <c r="A134" s="12">
        <v>43958</v>
      </c>
      <c r="B134" s="13" t="s">
        <v>23</v>
      </c>
      <c r="C134">
        <v>15</v>
      </c>
      <c r="D134">
        <v>676</v>
      </c>
      <c r="E134">
        <v>591</v>
      </c>
      <c r="F134" s="14">
        <f>INDEX(Лист1!$D:$D,MATCH(I134,Лист1!$J:$J,0))</f>
        <v>965880</v>
      </c>
      <c r="G134">
        <f>_xlfn.ISOWEEKNUM(Таблица2_2[[#This Row],[Дата]])</f>
        <v>19</v>
      </c>
      <c r="H134">
        <f>Таблица2_2[[#This Row],[Товарооборот, руб]]/Таблица2_2[[#This Row],[Количество складов]]</f>
        <v>64392</v>
      </c>
      <c r="I134" t="str">
        <f>--Таблица2_2[[#This Row],[Дата]]&amp;Таблица2_2[[#This Row],[Территория]]</f>
        <v>43958Новосибирск</v>
      </c>
    </row>
    <row r="135" spans="1:9" x14ac:dyDescent="0.25">
      <c r="A135" s="12">
        <v>43958</v>
      </c>
      <c r="B135" s="13" t="s">
        <v>18</v>
      </c>
      <c r="C135">
        <v>15</v>
      </c>
      <c r="D135">
        <v>805</v>
      </c>
      <c r="E135">
        <v>703</v>
      </c>
      <c r="F135" s="14">
        <f>INDEX(Лист1!$D:$D,MATCH(I135,Лист1!$J:$J,0))</f>
        <v>1123894.5</v>
      </c>
      <c r="G135">
        <f>_xlfn.ISOWEEKNUM(Таблица2_2[[#This Row],[Дата]])</f>
        <v>19</v>
      </c>
      <c r="H135">
        <f>Таблица2_2[[#This Row],[Товарооборот, руб]]/Таблица2_2[[#This Row],[Количество складов]]</f>
        <v>74926.3</v>
      </c>
      <c r="I135" t="str">
        <f>--Таблица2_2[[#This Row],[Дата]]&amp;Таблица2_2[[#This Row],[Территория]]</f>
        <v>43958Пермь</v>
      </c>
    </row>
    <row r="136" spans="1:9" x14ac:dyDescent="0.25">
      <c r="A136" s="12">
        <v>43958</v>
      </c>
      <c r="B136" s="13" t="s">
        <v>19</v>
      </c>
      <c r="C136">
        <v>15</v>
      </c>
      <c r="D136">
        <v>480</v>
      </c>
      <c r="E136">
        <v>398</v>
      </c>
      <c r="F136" s="14">
        <f>INDEX(Лист1!$D:$D,MATCH(I136,Лист1!$J:$J,0))</f>
        <v>769276.5</v>
      </c>
      <c r="G136">
        <f>_xlfn.ISOWEEKNUM(Таблица2_2[[#This Row],[Дата]])</f>
        <v>19</v>
      </c>
      <c r="H136">
        <f>Таблица2_2[[#This Row],[Товарооборот, руб]]/Таблица2_2[[#This Row],[Количество складов]]</f>
        <v>51285.1</v>
      </c>
      <c r="I136" t="str">
        <f>--Таблица2_2[[#This Row],[Дата]]&amp;Таблица2_2[[#This Row],[Территория]]</f>
        <v>43958Ростов-на-Дону</v>
      </c>
    </row>
    <row r="137" spans="1:9" x14ac:dyDescent="0.25">
      <c r="A137" s="12">
        <v>43958</v>
      </c>
      <c r="B137" s="13" t="s">
        <v>15</v>
      </c>
      <c r="C137">
        <v>125</v>
      </c>
      <c r="D137">
        <v>18014</v>
      </c>
      <c r="E137">
        <v>16675</v>
      </c>
      <c r="F137" s="14">
        <f>INDEX(Лист1!$D:$D,MATCH(I137,Лист1!$J:$J,0))</f>
        <v>33763989</v>
      </c>
      <c r="G137">
        <f>_xlfn.ISOWEEKNUM(Таблица2_2[[#This Row],[Дата]])</f>
        <v>19</v>
      </c>
      <c r="H137">
        <f>Таблица2_2[[#This Row],[Товарооборот, руб]]/Таблица2_2[[#This Row],[Количество складов]]</f>
        <v>270111.91200000001</v>
      </c>
      <c r="I137" t="str">
        <f>--Таблица2_2[[#This Row],[Дата]]&amp;Таблица2_2[[#This Row],[Территория]]</f>
        <v>43958Санкт-Петербург Север</v>
      </c>
    </row>
    <row r="138" spans="1:9" x14ac:dyDescent="0.25">
      <c r="A138" s="12">
        <v>43958</v>
      </c>
      <c r="B138" s="13" t="s">
        <v>14</v>
      </c>
      <c r="C138">
        <v>129</v>
      </c>
      <c r="D138">
        <v>14582</v>
      </c>
      <c r="E138">
        <v>13512</v>
      </c>
      <c r="F138" s="14">
        <f>INDEX(Лист1!$D:$D,MATCH(I138,Лист1!$J:$J,0))</f>
        <v>25325271</v>
      </c>
      <c r="G138">
        <f>_xlfn.ISOWEEKNUM(Таблица2_2[[#This Row],[Дата]])</f>
        <v>19</v>
      </c>
      <c r="H138">
        <f>Таблица2_2[[#This Row],[Товарооборот, руб]]/Таблица2_2[[#This Row],[Количество складов]]</f>
        <v>196319.93023255814</v>
      </c>
      <c r="I138" t="str">
        <f>--Таблица2_2[[#This Row],[Дата]]&amp;Таблица2_2[[#This Row],[Территория]]</f>
        <v>43958Санкт-Петербург Юг</v>
      </c>
    </row>
    <row r="139" spans="1:9" x14ac:dyDescent="0.25">
      <c r="A139" s="12">
        <v>43958</v>
      </c>
      <c r="B139" s="13" t="s">
        <v>12</v>
      </c>
      <c r="C139">
        <v>10</v>
      </c>
      <c r="D139">
        <v>563</v>
      </c>
      <c r="E139">
        <v>486</v>
      </c>
      <c r="F139" s="14">
        <f>INDEX(Лист1!$D:$D,MATCH(I139,Лист1!$J:$J,0))</f>
        <v>863754</v>
      </c>
      <c r="G139">
        <f>_xlfn.ISOWEEKNUM(Таблица2_2[[#This Row],[Дата]])</f>
        <v>19</v>
      </c>
      <c r="H139">
        <f>Таблица2_2[[#This Row],[Товарооборот, руб]]/Таблица2_2[[#This Row],[Количество складов]]</f>
        <v>86375.4</v>
      </c>
      <c r="I139" t="str">
        <f>--Таблица2_2[[#This Row],[Дата]]&amp;Таблица2_2[[#This Row],[Территория]]</f>
        <v>43958Тольятти</v>
      </c>
    </row>
    <row r="140" spans="1:9" x14ac:dyDescent="0.25">
      <c r="A140" s="12">
        <v>43959</v>
      </c>
      <c r="B140" s="13" t="s">
        <v>16</v>
      </c>
      <c r="C140">
        <v>36</v>
      </c>
      <c r="D140">
        <v>4199</v>
      </c>
      <c r="E140">
        <v>3867</v>
      </c>
      <c r="F140" s="14">
        <f>INDEX(Лист1!$D:$D,MATCH(I140,Лист1!$J:$J,0))</f>
        <v>5365708.5</v>
      </c>
      <c r="G140">
        <f>_xlfn.ISOWEEKNUM(Таблица2_2[[#This Row],[Дата]])</f>
        <v>19</v>
      </c>
      <c r="H140">
        <f>Таблица2_2[[#This Row],[Товарооборот, руб]]/Таблица2_2[[#This Row],[Количество складов]]</f>
        <v>149047.45833333334</v>
      </c>
      <c r="I140" t="str">
        <f>--Таблица2_2[[#This Row],[Дата]]&amp;Таблица2_2[[#This Row],[Территория]]</f>
        <v>43959Волгоград</v>
      </c>
    </row>
    <row r="141" spans="1:9" x14ac:dyDescent="0.25">
      <c r="A141" s="12">
        <v>43959</v>
      </c>
      <c r="B141" s="13" t="s">
        <v>11</v>
      </c>
      <c r="C141">
        <v>31</v>
      </c>
      <c r="D141">
        <v>4635</v>
      </c>
      <c r="E141">
        <v>4266</v>
      </c>
      <c r="F141" s="14">
        <f>INDEX(Лист1!$D:$D,MATCH(I141,Лист1!$J:$J,0))</f>
        <v>6293776.5</v>
      </c>
      <c r="G141">
        <f>_xlfn.ISOWEEKNUM(Таблица2_2[[#This Row],[Дата]])</f>
        <v>19</v>
      </c>
      <c r="H141">
        <f>Таблица2_2[[#This Row],[Товарооборот, руб]]/Таблица2_2[[#This Row],[Количество складов]]</f>
        <v>203025.04838709679</v>
      </c>
      <c r="I141" t="str">
        <f>--Таблица2_2[[#This Row],[Дата]]&amp;Таблица2_2[[#This Row],[Территория]]</f>
        <v>43959Екатеринбург</v>
      </c>
    </row>
    <row r="142" spans="1:9" x14ac:dyDescent="0.25">
      <c r="A142" s="12">
        <v>43959</v>
      </c>
      <c r="B142" s="13" t="s">
        <v>17</v>
      </c>
      <c r="C142">
        <v>21</v>
      </c>
      <c r="D142">
        <v>1957</v>
      </c>
      <c r="E142">
        <v>1755</v>
      </c>
      <c r="F142" s="14">
        <f>INDEX(Лист1!$D:$D,MATCH(I142,Лист1!$J:$J,0))</f>
        <v>3201358.5</v>
      </c>
      <c r="G142">
        <f>_xlfn.ISOWEEKNUM(Таблица2_2[[#This Row],[Дата]])</f>
        <v>19</v>
      </c>
      <c r="H142">
        <f>Таблица2_2[[#This Row],[Товарооборот, руб]]/Таблица2_2[[#This Row],[Количество складов]]</f>
        <v>152445.64285714287</v>
      </c>
      <c r="I142" t="str">
        <f>--Таблица2_2[[#This Row],[Дата]]&amp;Таблица2_2[[#This Row],[Территория]]</f>
        <v>43959Казань</v>
      </c>
    </row>
    <row r="143" spans="1:9" x14ac:dyDescent="0.25">
      <c r="A143" s="12">
        <v>43959</v>
      </c>
      <c r="B143" s="13" t="s">
        <v>10</v>
      </c>
      <c r="C143">
        <v>21</v>
      </c>
      <c r="D143">
        <v>1646</v>
      </c>
      <c r="E143">
        <v>1492</v>
      </c>
      <c r="F143" s="14">
        <f>INDEX(Лист1!$D:$D,MATCH(I143,Лист1!$J:$J,0))</f>
        <v>2645160</v>
      </c>
      <c r="G143">
        <f>_xlfn.ISOWEEKNUM(Таблица2_2[[#This Row],[Дата]])</f>
        <v>19</v>
      </c>
      <c r="H143">
        <f>Таблица2_2[[#This Row],[Товарооборот, руб]]/Таблица2_2[[#This Row],[Количество складов]]</f>
        <v>125960</v>
      </c>
      <c r="I143" t="str">
        <f>--Таблица2_2[[#This Row],[Дата]]&amp;Таблица2_2[[#This Row],[Территория]]</f>
        <v>43959Кемерово</v>
      </c>
    </row>
    <row r="144" spans="1:9" x14ac:dyDescent="0.25">
      <c r="A144" s="12">
        <v>43959</v>
      </c>
      <c r="B144" s="13" t="s">
        <v>20</v>
      </c>
      <c r="C144">
        <v>19</v>
      </c>
      <c r="D144">
        <v>1520</v>
      </c>
      <c r="E144">
        <v>1380</v>
      </c>
      <c r="F144" s="14">
        <f>INDEX(Лист1!$D:$D,MATCH(I144,Лист1!$J:$J,0))</f>
        <v>2235960</v>
      </c>
      <c r="G144">
        <f>_xlfn.ISOWEEKNUM(Таблица2_2[[#This Row],[Дата]])</f>
        <v>19</v>
      </c>
      <c r="H144">
        <f>Таблица2_2[[#This Row],[Товарооборот, руб]]/Таблица2_2[[#This Row],[Количество складов]]</f>
        <v>117682.10526315789</v>
      </c>
      <c r="I144" t="str">
        <f>--Таблица2_2[[#This Row],[Дата]]&amp;Таблица2_2[[#This Row],[Территория]]</f>
        <v>43959Краснодар</v>
      </c>
    </row>
    <row r="145" spans="1:9" x14ac:dyDescent="0.25">
      <c r="A145" s="12">
        <v>43959</v>
      </c>
      <c r="B145" s="13" t="s">
        <v>22</v>
      </c>
      <c r="C145">
        <v>54</v>
      </c>
      <c r="D145">
        <v>13563</v>
      </c>
      <c r="E145">
        <v>12604</v>
      </c>
      <c r="F145" s="14">
        <f>INDEX(Лист1!$D:$D,MATCH(I145,Лист1!$J:$J,0))</f>
        <v>22846078.5</v>
      </c>
      <c r="G145">
        <f>_xlfn.ISOWEEKNUM(Таблица2_2[[#This Row],[Дата]])</f>
        <v>19</v>
      </c>
      <c r="H145">
        <f>Таблица2_2[[#This Row],[Товарооборот, руб]]/Таблица2_2[[#This Row],[Количество складов]]</f>
        <v>423075.52777777775</v>
      </c>
      <c r="I145" t="str">
        <f>--Таблица2_2[[#This Row],[Дата]]&amp;Таблица2_2[[#This Row],[Территория]]</f>
        <v>43959Москва Восток</v>
      </c>
    </row>
    <row r="146" spans="1:9" x14ac:dyDescent="0.25">
      <c r="A146" s="12">
        <v>43959</v>
      </c>
      <c r="B146" s="13" t="s">
        <v>21</v>
      </c>
      <c r="C146">
        <v>59</v>
      </c>
      <c r="D146">
        <v>14098</v>
      </c>
      <c r="E146">
        <v>13106</v>
      </c>
      <c r="F146" s="14">
        <f>INDEX(Лист1!$D:$D,MATCH(I146,Лист1!$J:$J,0))</f>
        <v>23881948.5</v>
      </c>
      <c r="G146">
        <f>_xlfn.ISOWEEKNUM(Таблица2_2[[#This Row],[Дата]])</f>
        <v>19</v>
      </c>
      <c r="H146">
        <f>Таблица2_2[[#This Row],[Товарооборот, руб]]/Таблица2_2[[#This Row],[Количество складов]]</f>
        <v>404778.78813559323</v>
      </c>
      <c r="I146" t="str">
        <f>--Таблица2_2[[#This Row],[Дата]]&amp;Таблица2_2[[#This Row],[Территория]]</f>
        <v>43959Москва Запад</v>
      </c>
    </row>
    <row r="147" spans="1:9" x14ac:dyDescent="0.25">
      <c r="A147" s="12">
        <v>43959</v>
      </c>
      <c r="B147" s="13" t="s">
        <v>13</v>
      </c>
      <c r="C147">
        <v>19</v>
      </c>
      <c r="D147">
        <v>1522</v>
      </c>
      <c r="E147">
        <v>1340</v>
      </c>
      <c r="F147" s="14">
        <f>INDEX(Лист1!$D:$D,MATCH(I147,Лист1!$J:$J,0))</f>
        <v>2271454.5</v>
      </c>
      <c r="G147">
        <f>_xlfn.ISOWEEKNUM(Таблица2_2[[#This Row],[Дата]])</f>
        <v>19</v>
      </c>
      <c r="H147">
        <f>Таблица2_2[[#This Row],[Товарооборот, руб]]/Таблица2_2[[#This Row],[Количество складов]]</f>
        <v>119550.23684210527</v>
      </c>
      <c r="I147" t="str">
        <f>--Таблица2_2[[#This Row],[Дата]]&amp;Таблица2_2[[#This Row],[Территория]]</f>
        <v>43959Нижний Новгород</v>
      </c>
    </row>
    <row r="148" spans="1:9" x14ac:dyDescent="0.25">
      <c r="A148" s="12">
        <v>43959</v>
      </c>
      <c r="B148" s="13" t="s">
        <v>23</v>
      </c>
      <c r="C148">
        <v>15</v>
      </c>
      <c r="D148">
        <v>703</v>
      </c>
      <c r="E148">
        <v>609</v>
      </c>
      <c r="F148" s="14">
        <f>INDEX(Лист1!$D:$D,MATCH(I148,Лист1!$J:$J,0))</f>
        <v>1046848.5</v>
      </c>
      <c r="G148">
        <f>_xlfn.ISOWEEKNUM(Таблица2_2[[#This Row],[Дата]])</f>
        <v>19</v>
      </c>
      <c r="H148">
        <f>Таблица2_2[[#This Row],[Товарооборот, руб]]/Таблица2_2[[#This Row],[Количество складов]]</f>
        <v>69789.899999999994</v>
      </c>
      <c r="I148" t="str">
        <f>--Таблица2_2[[#This Row],[Дата]]&amp;Таблица2_2[[#This Row],[Территория]]</f>
        <v>43959Новосибирск</v>
      </c>
    </row>
    <row r="149" spans="1:9" x14ac:dyDescent="0.25">
      <c r="A149" s="12">
        <v>43959</v>
      </c>
      <c r="B149" s="13" t="s">
        <v>18</v>
      </c>
      <c r="C149">
        <v>15</v>
      </c>
      <c r="D149">
        <v>879</v>
      </c>
      <c r="E149">
        <v>768</v>
      </c>
      <c r="F149" s="14">
        <f>INDEX(Лист1!$D:$D,MATCH(I149,Лист1!$J:$J,0))</f>
        <v>1269786</v>
      </c>
      <c r="G149">
        <f>_xlfn.ISOWEEKNUM(Таблица2_2[[#This Row],[Дата]])</f>
        <v>19</v>
      </c>
      <c r="H149">
        <f>Таблица2_2[[#This Row],[Товарооборот, руб]]/Таблица2_2[[#This Row],[Количество складов]]</f>
        <v>84652.4</v>
      </c>
      <c r="I149" t="str">
        <f>--Таблица2_2[[#This Row],[Дата]]&amp;Таблица2_2[[#This Row],[Территория]]</f>
        <v>43959Пермь</v>
      </c>
    </row>
    <row r="150" spans="1:9" x14ac:dyDescent="0.25">
      <c r="A150" s="12">
        <v>43959</v>
      </c>
      <c r="B150" s="13" t="s">
        <v>19</v>
      </c>
      <c r="C150">
        <v>15</v>
      </c>
      <c r="D150">
        <v>492</v>
      </c>
      <c r="E150">
        <v>412</v>
      </c>
      <c r="F150" s="14">
        <f>INDEX(Лист1!$D:$D,MATCH(I150,Лист1!$J:$J,0))</f>
        <v>798759</v>
      </c>
      <c r="G150">
        <f>_xlfn.ISOWEEKNUM(Таблица2_2[[#This Row],[Дата]])</f>
        <v>19</v>
      </c>
      <c r="H150">
        <f>Таблица2_2[[#This Row],[Товарооборот, руб]]/Таблица2_2[[#This Row],[Количество складов]]</f>
        <v>53250.6</v>
      </c>
      <c r="I150" t="str">
        <f>--Таблица2_2[[#This Row],[Дата]]&amp;Таблица2_2[[#This Row],[Территория]]</f>
        <v>43959Ростов-на-Дону</v>
      </c>
    </row>
    <row r="151" spans="1:9" x14ac:dyDescent="0.25">
      <c r="A151" s="12">
        <v>43959</v>
      </c>
      <c r="B151" s="13" t="s">
        <v>15</v>
      </c>
      <c r="C151">
        <v>125</v>
      </c>
      <c r="D151">
        <v>24620</v>
      </c>
      <c r="E151">
        <v>22641</v>
      </c>
      <c r="F151" s="14">
        <f>INDEX(Лист1!$D:$D,MATCH(I151,Лист1!$J:$J,0))</f>
        <v>49123180.5</v>
      </c>
      <c r="G151">
        <f>_xlfn.ISOWEEKNUM(Таблица2_2[[#This Row],[Дата]])</f>
        <v>19</v>
      </c>
      <c r="H151">
        <f>Таблица2_2[[#This Row],[Товарооборот, руб]]/Таблица2_2[[#This Row],[Количество складов]]</f>
        <v>392985.44400000002</v>
      </c>
      <c r="I151" t="str">
        <f>--Таблица2_2[[#This Row],[Дата]]&amp;Таблица2_2[[#This Row],[Территория]]</f>
        <v>43959Санкт-Петербург Север</v>
      </c>
    </row>
    <row r="152" spans="1:9" x14ac:dyDescent="0.25">
      <c r="A152" s="12">
        <v>43959</v>
      </c>
      <c r="B152" s="13" t="s">
        <v>14</v>
      </c>
      <c r="C152">
        <v>129</v>
      </c>
      <c r="D152">
        <v>20452</v>
      </c>
      <c r="E152">
        <v>18857</v>
      </c>
      <c r="F152" s="14">
        <f>INDEX(Лист1!$D:$D,MATCH(I152,Лист1!$J:$J,0))</f>
        <v>38091556.5</v>
      </c>
      <c r="G152">
        <f>_xlfn.ISOWEEKNUM(Таблица2_2[[#This Row],[Дата]])</f>
        <v>19</v>
      </c>
      <c r="H152">
        <f>Таблица2_2[[#This Row],[Товарооборот, руб]]/Таблица2_2[[#This Row],[Количество складов]]</f>
        <v>295283.38372093026</v>
      </c>
      <c r="I152" t="str">
        <f>--Таблица2_2[[#This Row],[Дата]]&amp;Таблица2_2[[#This Row],[Территория]]</f>
        <v>43959Санкт-Петербург Юг</v>
      </c>
    </row>
    <row r="153" spans="1:9" x14ac:dyDescent="0.25">
      <c r="A153" s="12">
        <v>43959</v>
      </c>
      <c r="B153" s="13" t="s">
        <v>12</v>
      </c>
      <c r="C153">
        <v>10</v>
      </c>
      <c r="D153">
        <v>638</v>
      </c>
      <c r="E153">
        <v>547</v>
      </c>
      <c r="F153" s="14">
        <f>INDEX(Лист1!$D:$D,MATCH(I153,Лист1!$J:$J,0))</f>
        <v>959703</v>
      </c>
      <c r="G153">
        <f>_xlfn.ISOWEEKNUM(Таблица2_2[[#This Row],[Дата]])</f>
        <v>19</v>
      </c>
      <c r="H153">
        <f>Таблица2_2[[#This Row],[Товарооборот, руб]]/Таблица2_2[[#This Row],[Количество складов]]</f>
        <v>95970.3</v>
      </c>
      <c r="I153" t="str">
        <f>--Таблица2_2[[#This Row],[Дата]]&amp;Таблица2_2[[#This Row],[Территория]]</f>
        <v>43959Тольятти</v>
      </c>
    </row>
    <row r="154" spans="1:9" x14ac:dyDescent="0.25">
      <c r="A154" s="12">
        <v>43960</v>
      </c>
      <c r="B154" s="13" t="s">
        <v>16</v>
      </c>
      <c r="C154">
        <v>36</v>
      </c>
      <c r="D154">
        <v>5413</v>
      </c>
      <c r="E154">
        <v>4959</v>
      </c>
      <c r="F154" s="14">
        <f>INDEX(Лист1!$D:$D,MATCH(I154,Лист1!$J:$J,0))</f>
        <v>7253427</v>
      </c>
      <c r="G154">
        <f>_xlfn.ISOWEEKNUM(Таблица2_2[[#This Row],[Дата]])</f>
        <v>19</v>
      </c>
      <c r="H154">
        <f>Таблица2_2[[#This Row],[Товарооборот, руб]]/Таблица2_2[[#This Row],[Количество складов]]</f>
        <v>201484.08333333334</v>
      </c>
      <c r="I154" t="str">
        <f>--Таблица2_2[[#This Row],[Дата]]&amp;Таблица2_2[[#This Row],[Территория]]</f>
        <v>43960Волгоград</v>
      </c>
    </row>
    <row r="155" spans="1:9" x14ac:dyDescent="0.25">
      <c r="A155" s="12">
        <v>43960</v>
      </c>
      <c r="B155" s="13" t="s">
        <v>11</v>
      </c>
      <c r="C155">
        <v>31</v>
      </c>
      <c r="D155">
        <v>4556</v>
      </c>
      <c r="E155">
        <v>4220</v>
      </c>
      <c r="F155" s="14">
        <f>INDEX(Лист1!$D:$D,MATCH(I155,Лист1!$J:$J,0))</f>
        <v>6264933</v>
      </c>
      <c r="G155">
        <f>_xlfn.ISOWEEKNUM(Таблица2_2[[#This Row],[Дата]])</f>
        <v>19</v>
      </c>
      <c r="H155">
        <f>Таблица2_2[[#This Row],[Товарооборот, руб]]/Таблица2_2[[#This Row],[Количество складов]]</f>
        <v>202094.61290322582</v>
      </c>
      <c r="I155" t="str">
        <f>--Таблица2_2[[#This Row],[Дата]]&amp;Таблица2_2[[#This Row],[Территория]]</f>
        <v>43960Екатеринбург</v>
      </c>
    </row>
    <row r="156" spans="1:9" x14ac:dyDescent="0.25">
      <c r="A156" s="12">
        <v>43960</v>
      </c>
      <c r="B156" s="13" t="s">
        <v>17</v>
      </c>
      <c r="C156">
        <v>21</v>
      </c>
      <c r="D156">
        <v>1891</v>
      </c>
      <c r="E156">
        <v>1709</v>
      </c>
      <c r="F156" s="14">
        <f>INDEX(Лист1!$D:$D,MATCH(I156,Лист1!$J:$J,0))</f>
        <v>3084892.5</v>
      </c>
      <c r="G156">
        <f>_xlfn.ISOWEEKNUM(Таблица2_2[[#This Row],[Дата]])</f>
        <v>19</v>
      </c>
      <c r="H156">
        <f>Таблица2_2[[#This Row],[Товарооборот, руб]]/Таблица2_2[[#This Row],[Количество складов]]</f>
        <v>146899.64285714287</v>
      </c>
      <c r="I156" t="str">
        <f>--Таблица2_2[[#This Row],[Дата]]&amp;Таблица2_2[[#This Row],[Территория]]</f>
        <v>43960Казань</v>
      </c>
    </row>
    <row r="157" spans="1:9" x14ac:dyDescent="0.25">
      <c r="A157" s="12">
        <v>43960</v>
      </c>
      <c r="B157" s="13" t="s">
        <v>10</v>
      </c>
      <c r="C157">
        <v>21</v>
      </c>
      <c r="D157">
        <v>1735</v>
      </c>
      <c r="E157">
        <v>1568</v>
      </c>
      <c r="F157" s="14">
        <f>INDEX(Лист1!$D:$D,MATCH(I157,Лист1!$J:$J,0))</f>
        <v>2831019</v>
      </c>
      <c r="G157">
        <f>_xlfn.ISOWEEKNUM(Таблица2_2[[#This Row],[Дата]])</f>
        <v>19</v>
      </c>
      <c r="H157">
        <f>Таблица2_2[[#This Row],[Товарооборот, руб]]/Таблица2_2[[#This Row],[Количество складов]]</f>
        <v>134810.42857142858</v>
      </c>
      <c r="I157" t="str">
        <f>--Таблица2_2[[#This Row],[Дата]]&amp;Таблица2_2[[#This Row],[Территория]]</f>
        <v>43960Кемерово</v>
      </c>
    </row>
    <row r="158" spans="1:9" x14ac:dyDescent="0.25">
      <c r="A158" s="12">
        <v>43960</v>
      </c>
      <c r="B158" s="13" t="s">
        <v>20</v>
      </c>
      <c r="C158">
        <v>19</v>
      </c>
      <c r="D158">
        <v>1542</v>
      </c>
      <c r="E158">
        <v>1412</v>
      </c>
      <c r="F158" s="14">
        <f>INDEX(Лист1!$D:$D,MATCH(I158,Лист1!$J:$J,0))</f>
        <v>2384937</v>
      </c>
      <c r="G158">
        <f>_xlfn.ISOWEEKNUM(Таблица2_2[[#This Row],[Дата]])</f>
        <v>19</v>
      </c>
      <c r="H158">
        <f>Таблица2_2[[#This Row],[Товарооборот, руб]]/Таблица2_2[[#This Row],[Количество складов]]</f>
        <v>125523</v>
      </c>
      <c r="I158" t="str">
        <f>--Таблица2_2[[#This Row],[Дата]]&amp;Таблица2_2[[#This Row],[Территория]]</f>
        <v>43960Краснодар</v>
      </c>
    </row>
    <row r="159" spans="1:9" x14ac:dyDescent="0.25">
      <c r="A159" s="12">
        <v>43960</v>
      </c>
      <c r="B159" s="13" t="s">
        <v>22</v>
      </c>
      <c r="C159">
        <v>54</v>
      </c>
      <c r="D159">
        <v>11288</v>
      </c>
      <c r="E159">
        <v>10492</v>
      </c>
      <c r="F159" s="14">
        <f>INDEX(Лист1!$D:$D,MATCH(I159,Лист1!$J:$J,0))</f>
        <v>18085798.5</v>
      </c>
      <c r="G159">
        <f>_xlfn.ISOWEEKNUM(Таблица2_2[[#This Row],[Дата]])</f>
        <v>19</v>
      </c>
      <c r="H159">
        <f>Таблица2_2[[#This Row],[Товарооборот, руб]]/Таблица2_2[[#This Row],[Количество складов]]</f>
        <v>334922.19444444444</v>
      </c>
      <c r="I159" t="str">
        <f>--Таблица2_2[[#This Row],[Дата]]&amp;Таблица2_2[[#This Row],[Территория]]</f>
        <v>43960Москва Восток</v>
      </c>
    </row>
    <row r="160" spans="1:9" x14ac:dyDescent="0.25">
      <c r="A160" s="12">
        <v>43960</v>
      </c>
      <c r="B160" s="13" t="s">
        <v>21</v>
      </c>
      <c r="C160">
        <v>59</v>
      </c>
      <c r="D160">
        <v>12016</v>
      </c>
      <c r="E160">
        <v>11137</v>
      </c>
      <c r="F160" s="14">
        <f>INDEX(Лист1!$D:$D,MATCH(I160,Лист1!$J:$J,0))</f>
        <v>19218631.5</v>
      </c>
      <c r="G160">
        <f>_xlfn.ISOWEEKNUM(Таблица2_2[[#This Row],[Дата]])</f>
        <v>19</v>
      </c>
      <c r="H160">
        <f>Таблица2_2[[#This Row],[Товарооборот, руб]]/Таблица2_2[[#This Row],[Количество складов]]</f>
        <v>325739.51694915252</v>
      </c>
      <c r="I160" t="str">
        <f>--Таблица2_2[[#This Row],[Дата]]&amp;Таблица2_2[[#This Row],[Территория]]</f>
        <v>43960Москва Запад</v>
      </c>
    </row>
    <row r="161" spans="1:9" x14ac:dyDescent="0.25">
      <c r="A161" s="12">
        <v>43960</v>
      </c>
      <c r="B161" s="13" t="s">
        <v>13</v>
      </c>
      <c r="C161">
        <v>19</v>
      </c>
      <c r="D161">
        <v>1851</v>
      </c>
      <c r="E161">
        <v>1635</v>
      </c>
      <c r="F161" s="14">
        <f>INDEX(Лист1!$D:$D,MATCH(I161,Лист1!$J:$J,0))</f>
        <v>2902167</v>
      </c>
      <c r="G161">
        <f>_xlfn.ISOWEEKNUM(Таблица2_2[[#This Row],[Дата]])</f>
        <v>19</v>
      </c>
      <c r="H161">
        <f>Таблица2_2[[#This Row],[Товарооборот, руб]]/Таблица2_2[[#This Row],[Количество складов]]</f>
        <v>152745.63157894736</v>
      </c>
      <c r="I161" t="str">
        <f>--Таблица2_2[[#This Row],[Дата]]&amp;Таблица2_2[[#This Row],[Территория]]</f>
        <v>43960Нижний Новгород</v>
      </c>
    </row>
    <row r="162" spans="1:9" x14ac:dyDescent="0.25">
      <c r="A162" s="12">
        <v>43960</v>
      </c>
      <c r="B162" s="13" t="s">
        <v>23</v>
      </c>
      <c r="C162">
        <v>15</v>
      </c>
      <c r="D162">
        <v>654</v>
      </c>
      <c r="E162">
        <v>570</v>
      </c>
      <c r="F162" s="14">
        <f>INDEX(Лист1!$D:$D,MATCH(I162,Лист1!$J:$J,0))</f>
        <v>955801.5</v>
      </c>
      <c r="G162">
        <f>_xlfn.ISOWEEKNUM(Таблица2_2[[#This Row],[Дата]])</f>
        <v>19</v>
      </c>
      <c r="H162">
        <f>Таблица2_2[[#This Row],[Товарооборот, руб]]/Таблица2_2[[#This Row],[Количество складов]]</f>
        <v>63720.1</v>
      </c>
      <c r="I162" t="str">
        <f>--Таблица2_2[[#This Row],[Дата]]&amp;Таблица2_2[[#This Row],[Территория]]</f>
        <v>43960Новосибирск</v>
      </c>
    </row>
    <row r="163" spans="1:9" x14ac:dyDescent="0.25">
      <c r="A163" s="12">
        <v>43960</v>
      </c>
      <c r="B163" s="13" t="s">
        <v>18</v>
      </c>
      <c r="C163">
        <v>15</v>
      </c>
      <c r="D163">
        <v>849</v>
      </c>
      <c r="E163">
        <v>740</v>
      </c>
      <c r="F163" s="14">
        <f>INDEX(Лист1!$D:$D,MATCH(I163,Лист1!$J:$J,0))</f>
        <v>1222932</v>
      </c>
      <c r="G163">
        <f>_xlfn.ISOWEEKNUM(Таблица2_2[[#This Row],[Дата]])</f>
        <v>19</v>
      </c>
      <c r="H163">
        <f>Таблица2_2[[#This Row],[Товарооборот, руб]]/Таблица2_2[[#This Row],[Количество складов]]</f>
        <v>81528.800000000003</v>
      </c>
      <c r="I163" t="str">
        <f>--Таблица2_2[[#This Row],[Дата]]&amp;Таблица2_2[[#This Row],[Территория]]</f>
        <v>43960Пермь</v>
      </c>
    </row>
    <row r="164" spans="1:9" x14ac:dyDescent="0.25">
      <c r="A164" s="12">
        <v>43960</v>
      </c>
      <c r="B164" s="13" t="s">
        <v>19</v>
      </c>
      <c r="C164">
        <v>15</v>
      </c>
      <c r="D164">
        <v>623</v>
      </c>
      <c r="E164">
        <v>535</v>
      </c>
      <c r="F164" s="14">
        <f>INDEX(Лист1!$D:$D,MATCH(I164,Лист1!$J:$J,0))</f>
        <v>1081216.5</v>
      </c>
      <c r="G164">
        <f>_xlfn.ISOWEEKNUM(Таблица2_2[[#This Row],[Дата]])</f>
        <v>19</v>
      </c>
      <c r="H164">
        <f>Таблица2_2[[#This Row],[Товарооборот, руб]]/Таблица2_2[[#This Row],[Количество складов]]</f>
        <v>72081.100000000006</v>
      </c>
      <c r="I164" t="str">
        <f>--Таблица2_2[[#This Row],[Дата]]&amp;Таблица2_2[[#This Row],[Территория]]</f>
        <v>43960Ростов-на-Дону</v>
      </c>
    </row>
    <row r="165" spans="1:9" x14ac:dyDescent="0.25">
      <c r="A165" s="12">
        <v>43960</v>
      </c>
      <c r="B165" s="13" t="s">
        <v>15</v>
      </c>
      <c r="C165">
        <v>125</v>
      </c>
      <c r="D165">
        <v>20132</v>
      </c>
      <c r="E165">
        <v>18617</v>
      </c>
      <c r="F165" s="14">
        <f>INDEX(Лист1!$D:$D,MATCH(I165,Лист1!$J:$J,0))</f>
        <v>38693427</v>
      </c>
      <c r="G165">
        <f>_xlfn.ISOWEEKNUM(Таблица2_2[[#This Row],[Дата]])</f>
        <v>19</v>
      </c>
      <c r="H165">
        <f>Таблица2_2[[#This Row],[Товарооборот, руб]]/Таблица2_2[[#This Row],[Количество складов]]</f>
        <v>309547.41600000003</v>
      </c>
      <c r="I165" t="str">
        <f>--Таблица2_2[[#This Row],[Дата]]&amp;Таблица2_2[[#This Row],[Территория]]</f>
        <v>43960Санкт-Петербург Север</v>
      </c>
    </row>
    <row r="166" spans="1:9" x14ac:dyDescent="0.25">
      <c r="A166" s="12">
        <v>43960</v>
      </c>
      <c r="B166" s="13" t="s">
        <v>14</v>
      </c>
      <c r="C166">
        <v>129</v>
      </c>
      <c r="D166">
        <v>16420</v>
      </c>
      <c r="E166">
        <v>15169</v>
      </c>
      <c r="F166" s="14">
        <f>INDEX(Лист1!$D:$D,MATCH(I166,Лист1!$J:$J,0))</f>
        <v>29768199</v>
      </c>
      <c r="G166">
        <f>_xlfn.ISOWEEKNUM(Таблица2_2[[#This Row],[Дата]])</f>
        <v>19</v>
      </c>
      <c r="H166">
        <f>Таблица2_2[[#This Row],[Товарооборот, руб]]/Таблица2_2[[#This Row],[Количество складов]]</f>
        <v>230761.23255813954</v>
      </c>
      <c r="I166" t="str">
        <f>--Таблица2_2[[#This Row],[Дата]]&amp;Таблица2_2[[#This Row],[Территория]]</f>
        <v>43960Санкт-Петербург Юг</v>
      </c>
    </row>
    <row r="167" spans="1:9" x14ac:dyDescent="0.25">
      <c r="A167" s="12">
        <v>43960</v>
      </c>
      <c r="B167" s="13" t="s">
        <v>12</v>
      </c>
      <c r="C167">
        <v>10</v>
      </c>
      <c r="D167">
        <v>644</v>
      </c>
      <c r="E167">
        <v>559</v>
      </c>
      <c r="F167" s="14">
        <f>INDEX(Лист1!$D:$D,MATCH(I167,Лист1!$J:$J,0))</f>
        <v>1046400</v>
      </c>
      <c r="G167">
        <f>_xlfn.ISOWEEKNUM(Таблица2_2[[#This Row],[Дата]])</f>
        <v>19</v>
      </c>
      <c r="H167">
        <f>Таблица2_2[[#This Row],[Товарооборот, руб]]/Таблица2_2[[#This Row],[Количество складов]]</f>
        <v>104640</v>
      </c>
      <c r="I167" t="str">
        <f>--Таблица2_2[[#This Row],[Дата]]&amp;Таблица2_2[[#This Row],[Территория]]</f>
        <v>43960Тольятти</v>
      </c>
    </row>
    <row r="168" spans="1:9" x14ac:dyDescent="0.25">
      <c r="A168" s="12">
        <v>43961</v>
      </c>
      <c r="B168" s="13" t="s">
        <v>16</v>
      </c>
      <c r="C168">
        <v>36</v>
      </c>
      <c r="D168">
        <v>5746</v>
      </c>
      <c r="E168">
        <v>5277</v>
      </c>
      <c r="F168" s="14">
        <f>INDEX(Лист1!$D:$D,MATCH(I168,Лист1!$J:$J,0))</f>
        <v>7726069.5</v>
      </c>
      <c r="G168">
        <f>_xlfn.ISOWEEKNUM(Таблица2_2[[#This Row],[Дата]])</f>
        <v>19</v>
      </c>
      <c r="H168">
        <f>Таблица2_2[[#This Row],[Товарооборот, руб]]/Таблица2_2[[#This Row],[Количество складов]]</f>
        <v>214613.04166666666</v>
      </c>
      <c r="I168" t="str">
        <f>--Таблица2_2[[#This Row],[Дата]]&amp;Таблица2_2[[#This Row],[Территория]]</f>
        <v>43961Волгоград</v>
      </c>
    </row>
    <row r="169" spans="1:9" x14ac:dyDescent="0.25">
      <c r="A169" s="12">
        <v>43961</v>
      </c>
      <c r="B169" s="13" t="s">
        <v>11</v>
      </c>
      <c r="C169">
        <v>31</v>
      </c>
      <c r="D169">
        <v>5495</v>
      </c>
      <c r="E169">
        <v>5093</v>
      </c>
      <c r="F169" s="14">
        <f>INDEX(Лист1!$D:$D,MATCH(I169,Лист1!$J:$J,0))</f>
        <v>7483194</v>
      </c>
      <c r="G169">
        <f>_xlfn.ISOWEEKNUM(Таблица2_2[[#This Row],[Дата]])</f>
        <v>19</v>
      </c>
      <c r="H169">
        <f>Таблица2_2[[#This Row],[Товарооборот, руб]]/Таблица2_2[[#This Row],[Количество складов]]</f>
        <v>241393.35483870967</v>
      </c>
      <c r="I169" t="str">
        <f>--Таблица2_2[[#This Row],[Дата]]&amp;Таблица2_2[[#This Row],[Территория]]</f>
        <v>43961Екатеринбург</v>
      </c>
    </row>
    <row r="170" spans="1:9" x14ac:dyDescent="0.25">
      <c r="A170" s="12">
        <v>43961</v>
      </c>
      <c r="B170" s="13" t="s">
        <v>17</v>
      </c>
      <c r="C170">
        <v>21</v>
      </c>
      <c r="D170">
        <v>2120</v>
      </c>
      <c r="E170">
        <v>1921</v>
      </c>
      <c r="F170" s="14">
        <f>INDEX(Лист1!$D:$D,MATCH(I170,Лист1!$J:$J,0))</f>
        <v>3549097.5</v>
      </c>
      <c r="G170">
        <f>_xlfn.ISOWEEKNUM(Таблица2_2[[#This Row],[Дата]])</f>
        <v>19</v>
      </c>
      <c r="H170">
        <f>Таблица2_2[[#This Row],[Товарооборот, руб]]/Таблица2_2[[#This Row],[Количество складов]]</f>
        <v>169004.64285714287</v>
      </c>
      <c r="I170" t="str">
        <f>--Таблица2_2[[#This Row],[Дата]]&amp;Таблица2_2[[#This Row],[Территория]]</f>
        <v>43961Казань</v>
      </c>
    </row>
    <row r="171" spans="1:9" x14ac:dyDescent="0.25">
      <c r="A171" s="12">
        <v>43961</v>
      </c>
      <c r="B171" s="13" t="s">
        <v>10</v>
      </c>
      <c r="C171">
        <v>21</v>
      </c>
      <c r="D171">
        <v>2016</v>
      </c>
      <c r="E171">
        <v>1846</v>
      </c>
      <c r="F171" s="14">
        <f>INDEX(Лист1!$D:$D,MATCH(I171,Лист1!$J:$J,0))</f>
        <v>3312967.5</v>
      </c>
      <c r="G171">
        <f>_xlfn.ISOWEEKNUM(Таблица2_2[[#This Row],[Дата]])</f>
        <v>19</v>
      </c>
      <c r="H171">
        <f>Таблица2_2[[#This Row],[Товарооборот, руб]]/Таблица2_2[[#This Row],[Количество складов]]</f>
        <v>157760.35714285713</v>
      </c>
      <c r="I171" t="str">
        <f>--Таблица2_2[[#This Row],[Дата]]&amp;Таблица2_2[[#This Row],[Территория]]</f>
        <v>43961Кемерово</v>
      </c>
    </row>
    <row r="172" spans="1:9" x14ac:dyDescent="0.25">
      <c r="A172" s="12">
        <v>43961</v>
      </c>
      <c r="B172" s="13" t="s">
        <v>20</v>
      </c>
      <c r="C172">
        <v>19</v>
      </c>
      <c r="D172">
        <v>1836</v>
      </c>
      <c r="E172">
        <v>1680</v>
      </c>
      <c r="F172" s="14">
        <f>INDEX(Лист1!$D:$D,MATCH(I172,Лист1!$J:$J,0))</f>
        <v>2767270.5</v>
      </c>
      <c r="G172">
        <f>_xlfn.ISOWEEKNUM(Таблица2_2[[#This Row],[Дата]])</f>
        <v>19</v>
      </c>
      <c r="H172">
        <f>Таблица2_2[[#This Row],[Товарооборот, руб]]/Таблица2_2[[#This Row],[Количество складов]]</f>
        <v>145645.81578947368</v>
      </c>
      <c r="I172" t="str">
        <f>--Таблица2_2[[#This Row],[Дата]]&amp;Таблица2_2[[#This Row],[Территория]]</f>
        <v>43961Краснодар</v>
      </c>
    </row>
    <row r="173" spans="1:9" x14ac:dyDescent="0.25">
      <c r="A173" s="12">
        <v>43961</v>
      </c>
      <c r="B173" s="13" t="s">
        <v>22</v>
      </c>
      <c r="C173">
        <v>54</v>
      </c>
      <c r="D173">
        <v>13832</v>
      </c>
      <c r="E173">
        <v>12864</v>
      </c>
      <c r="F173" s="14">
        <f>INDEX(Лист1!$D:$D,MATCH(I173,Лист1!$J:$J,0))</f>
        <v>23443725</v>
      </c>
      <c r="G173">
        <f>_xlfn.ISOWEEKNUM(Таблица2_2[[#This Row],[Дата]])</f>
        <v>19</v>
      </c>
      <c r="H173">
        <f>Таблица2_2[[#This Row],[Товарооборот, руб]]/Таблица2_2[[#This Row],[Количество складов]]</f>
        <v>434143.05555555556</v>
      </c>
      <c r="I173" t="str">
        <f>--Таблица2_2[[#This Row],[Дата]]&amp;Таблица2_2[[#This Row],[Территория]]</f>
        <v>43961Москва Восток</v>
      </c>
    </row>
    <row r="174" spans="1:9" x14ac:dyDescent="0.25">
      <c r="A174" s="12">
        <v>43961</v>
      </c>
      <c r="B174" s="13" t="s">
        <v>21</v>
      </c>
      <c r="C174">
        <v>59</v>
      </c>
      <c r="D174">
        <v>14569</v>
      </c>
      <c r="E174">
        <v>13566</v>
      </c>
      <c r="F174" s="14">
        <f>INDEX(Лист1!$D:$D,MATCH(I174,Лист1!$J:$J,0))</f>
        <v>24890404.5</v>
      </c>
      <c r="G174">
        <f>_xlfn.ISOWEEKNUM(Таблица2_2[[#This Row],[Дата]])</f>
        <v>19</v>
      </c>
      <c r="H174">
        <f>Таблица2_2[[#This Row],[Товарооборот, руб]]/Таблица2_2[[#This Row],[Количество складов]]</f>
        <v>421871.26271186443</v>
      </c>
      <c r="I174" t="str">
        <f>--Таблица2_2[[#This Row],[Дата]]&amp;Таблица2_2[[#This Row],[Территория]]</f>
        <v>43961Москва Запад</v>
      </c>
    </row>
    <row r="175" spans="1:9" x14ac:dyDescent="0.25">
      <c r="A175" s="12">
        <v>43961</v>
      </c>
      <c r="B175" s="13" t="s">
        <v>13</v>
      </c>
      <c r="C175">
        <v>19</v>
      </c>
      <c r="D175">
        <v>1848</v>
      </c>
      <c r="E175">
        <v>1649</v>
      </c>
      <c r="F175" s="14">
        <f>INDEX(Лист1!$D:$D,MATCH(I175,Лист1!$J:$J,0))</f>
        <v>2862298.5</v>
      </c>
      <c r="G175">
        <f>_xlfn.ISOWEEKNUM(Таблица2_2[[#This Row],[Дата]])</f>
        <v>19</v>
      </c>
      <c r="H175">
        <f>Таблица2_2[[#This Row],[Товарооборот, руб]]/Таблица2_2[[#This Row],[Количество складов]]</f>
        <v>150647.28947368421</v>
      </c>
      <c r="I175" t="str">
        <f>--Таблица2_2[[#This Row],[Дата]]&amp;Таблица2_2[[#This Row],[Территория]]</f>
        <v>43961Нижний Новгород</v>
      </c>
    </row>
    <row r="176" spans="1:9" x14ac:dyDescent="0.25">
      <c r="A176" s="12">
        <v>43961</v>
      </c>
      <c r="B176" s="13" t="s">
        <v>23</v>
      </c>
      <c r="C176">
        <v>15</v>
      </c>
      <c r="D176">
        <v>792</v>
      </c>
      <c r="E176">
        <v>695</v>
      </c>
      <c r="F176" s="14">
        <f>INDEX(Лист1!$D:$D,MATCH(I176,Лист1!$J:$J,0))</f>
        <v>1216557</v>
      </c>
      <c r="G176">
        <f>_xlfn.ISOWEEKNUM(Таблица2_2[[#This Row],[Дата]])</f>
        <v>19</v>
      </c>
      <c r="H176">
        <f>Таблица2_2[[#This Row],[Товарооборот, руб]]/Таблица2_2[[#This Row],[Количество складов]]</f>
        <v>81103.8</v>
      </c>
      <c r="I176" t="str">
        <f>--Таблица2_2[[#This Row],[Дата]]&amp;Таблица2_2[[#This Row],[Территория]]</f>
        <v>43961Новосибирск</v>
      </c>
    </row>
    <row r="177" spans="1:9" x14ac:dyDescent="0.25">
      <c r="A177" s="12">
        <v>43961</v>
      </c>
      <c r="B177" s="13" t="s">
        <v>18</v>
      </c>
      <c r="C177">
        <v>15</v>
      </c>
      <c r="D177">
        <v>950</v>
      </c>
      <c r="E177">
        <v>848</v>
      </c>
      <c r="F177" s="14">
        <f>INDEX(Лист1!$D:$D,MATCH(I177,Лист1!$J:$J,0))</f>
        <v>1471537.5</v>
      </c>
      <c r="G177">
        <f>_xlfn.ISOWEEKNUM(Таблица2_2[[#This Row],[Дата]])</f>
        <v>19</v>
      </c>
      <c r="H177">
        <f>Таблица2_2[[#This Row],[Товарооборот, руб]]/Таблица2_2[[#This Row],[Количество складов]]</f>
        <v>98102.5</v>
      </c>
      <c r="I177" t="str">
        <f>--Таблица2_2[[#This Row],[Дата]]&amp;Таблица2_2[[#This Row],[Территория]]</f>
        <v>43961Пермь</v>
      </c>
    </row>
    <row r="178" spans="1:9" x14ac:dyDescent="0.25">
      <c r="A178" s="12">
        <v>43961</v>
      </c>
      <c r="B178" s="13" t="s">
        <v>19</v>
      </c>
      <c r="C178">
        <v>15</v>
      </c>
      <c r="D178">
        <v>706</v>
      </c>
      <c r="E178">
        <v>608</v>
      </c>
      <c r="F178" s="14">
        <f>INDEX(Лист1!$D:$D,MATCH(I178,Лист1!$J:$J,0))</f>
        <v>1198285.5</v>
      </c>
      <c r="G178">
        <f>_xlfn.ISOWEEKNUM(Таблица2_2[[#This Row],[Дата]])</f>
        <v>19</v>
      </c>
      <c r="H178">
        <f>Таблица2_2[[#This Row],[Товарооборот, руб]]/Таблица2_2[[#This Row],[Количество складов]]</f>
        <v>79885.7</v>
      </c>
      <c r="I178" t="str">
        <f>--Таблица2_2[[#This Row],[Дата]]&amp;Таблица2_2[[#This Row],[Территория]]</f>
        <v>43961Ростов-на-Дону</v>
      </c>
    </row>
    <row r="179" spans="1:9" x14ac:dyDescent="0.25">
      <c r="A179" s="12">
        <v>43961</v>
      </c>
      <c r="B179" s="13" t="s">
        <v>15</v>
      </c>
      <c r="C179">
        <v>125</v>
      </c>
      <c r="D179">
        <v>20368</v>
      </c>
      <c r="E179">
        <v>18884</v>
      </c>
      <c r="F179" s="14">
        <f>INDEX(Лист1!$D:$D,MATCH(I179,Лист1!$J:$J,0))</f>
        <v>39010875</v>
      </c>
      <c r="G179">
        <f>_xlfn.ISOWEEKNUM(Таблица2_2[[#This Row],[Дата]])</f>
        <v>19</v>
      </c>
      <c r="H179">
        <f>Таблица2_2[[#This Row],[Товарооборот, руб]]/Таблица2_2[[#This Row],[Количество складов]]</f>
        <v>312087</v>
      </c>
      <c r="I179" t="str">
        <f>--Таблица2_2[[#This Row],[Дата]]&amp;Таблица2_2[[#This Row],[Территория]]</f>
        <v>43961Санкт-Петербург Север</v>
      </c>
    </row>
    <row r="180" spans="1:9" x14ac:dyDescent="0.25">
      <c r="A180" s="12">
        <v>43961</v>
      </c>
      <c r="B180" s="13" t="s">
        <v>14</v>
      </c>
      <c r="C180">
        <v>129</v>
      </c>
      <c r="D180">
        <v>16437</v>
      </c>
      <c r="E180">
        <v>15285</v>
      </c>
      <c r="F180" s="14">
        <f>INDEX(Лист1!$D:$D,MATCH(I180,Лист1!$J:$J,0))</f>
        <v>29536176.10605</v>
      </c>
      <c r="G180">
        <f>_xlfn.ISOWEEKNUM(Таблица2_2[[#This Row],[Дата]])</f>
        <v>19</v>
      </c>
      <c r="H180">
        <f>Таблица2_2[[#This Row],[Товарооборот, руб]]/Таблица2_2[[#This Row],[Количество складов]]</f>
        <v>228962.6054732558</v>
      </c>
      <c r="I180" t="str">
        <f>--Таблица2_2[[#This Row],[Дата]]&amp;Таблица2_2[[#This Row],[Территория]]</f>
        <v>43961Санкт-Петербург Юг</v>
      </c>
    </row>
    <row r="181" spans="1:9" x14ac:dyDescent="0.25">
      <c r="A181" s="12">
        <v>43961</v>
      </c>
      <c r="B181" s="13" t="s">
        <v>12</v>
      </c>
      <c r="C181">
        <v>10</v>
      </c>
      <c r="D181">
        <v>642</v>
      </c>
      <c r="E181">
        <v>556</v>
      </c>
      <c r="F181" s="14">
        <f>INDEX(Лист1!$D:$D,MATCH(I181,Лист1!$J:$J,0))</f>
        <v>1004788.5</v>
      </c>
      <c r="G181">
        <f>_xlfn.ISOWEEKNUM(Таблица2_2[[#This Row],[Дата]])</f>
        <v>19</v>
      </c>
      <c r="H181">
        <f>Таблица2_2[[#This Row],[Товарооборот, руб]]/Таблица2_2[[#This Row],[Количество складов]]</f>
        <v>100478.85</v>
      </c>
      <c r="I181" t="str">
        <f>--Таблица2_2[[#This Row],[Дата]]&amp;Таблица2_2[[#This Row],[Территория]]</f>
        <v>43961Тольятти</v>
      </c>
    </row>
    <row r="182" spans="1:9" x14ac:dyDescent="0.25">
      <c r="A182" s="12">
        <v>43962</v>
      </c>
      <c r="B182" s="13" t="s">
        <v>16</v>
      </c>
      <c r="C182">
        <v>36</v>
      </c>
      <c r="D182">
        <v>4150</v>
      </c>
      <c r="E182">
        <v>3838</v>
      </c>
      <c r="F182" s="14">
        <f>INDEX(Лист1!$D:$D,MATCH(I182,Лист1!$J:$J,0))</f>
        <v>5178169.5</v>
      </c>
      <c r="G182">
        <f>_xlfn.ISOWEEKNUM(Таблица2_2[[#This Row],[Дата]])</f>
        <v>20</v>
      </c>
      <c r="H182">
        <f>Таблица2_2[[#This Row],[Товарооборот, руб]]/Таблица2_2[[#This Row],[Количество складов]]</f>
        <v>143838.04166666666</v>
      </c>
      <c r="I182" t="str">
        <f>--Таблица2_2[[#This Row],[Дата]]&amp;Таблица2_2[[#This Row],[Территория]]</f>
        <v>43962Волгоград</v>
      </c>
    </row>
    <row r="183" spans="1:9" x14ac:dyDescent="0.25">
      <c r="A183" s="12">
        <v>43962</v>
      </c>
      <c r="B183" s="13" t="s">
        <v>11</v>
      </c>
      <c r="C183">
        <v>31</v>
      </c>
      <c r="D183">
        <v>4826</v>
      </c>
      <c r="E183">
        <v>4483</v>
      </c>
      <c r="F183" s="14">
        <f>INDEX(Лист1!$D:$D,MATCH(I183,Лист1!$J:$J,0))</f>
        <v>6398719.5</v>
      </c>
      <c r="G183">
        <f>_xlfn.ISOWEEKNUM(Таблица2_2[[#This Row],[Дата]])</f>
        <v>20</v>
      </c>
      <c r="H183">
        <f>Таблица2_2[[#This Row],[Товарооборот, руб]]/Таблица2_2[[#This Row],[Количество складов]]</f>
        <v>206410.30645161291</v>
      </c>
      <c r="I183" t="str">
        <f>--Таблица2_2[[#This Row],[Дата]]&amp;Таблица2_2[[#This Row],[Территория]]</f>
        <v>43962Екатеринбург</v>
      </c>
    </row>
    <row r="184" spans="1:9" x14ac:dyDescent="0.25">
      <c r="A184" s="12">
        <v>43962</v>
      </c>
      <c r="B184" s="13" t="s">
        <v>17</v>
      </c>
      <c r="C184">
        <v>21</v>
      </c>
      <c r="D184">
        <v>1916</v>
      </c>
      <c r="E184">
        <v>1733</v>
      </c>
      <c r="F184" s="14">
        <f>INDEX(Лист1!$D:$D,MATCH(I184,Лист1!$J:$J,0))</f>
        <v>3079630.5</v>
      </c>
      <c r="G184">
        <f>_xlfn.ISOWEEKNUM(Таблица2_2[[#This Row],[Дата]])</f>
        <v>20</v>
      </c>
      <c r="H184">
        <f>Таблица2_2[[#This Row],[Товарооборот, руб]]/Таблица2_2[[#This Row],[Количество складов]]</f>
        <v>146649.07142857142</v>
      </c>
      <c r="I184" t="str">
        <f>--Таблица2_2[[#This Row],[Дата]]&amp;Таблица2_2[[#This Row],[Территория]]</f>
        <v>43962Казань</v>
      </c>
    </row>
    <row r="185" spans="1:9" x14ac:dyDescent="0.25">
      <c r="A185" s="12">
        <v>43962</v>
      </c>
      <c r="B185" s="13" t="s">
        <v>10</v>
      </c>
      <c r="C185">
        <v>21</v>
      </c>
      <c r="D185">
        <v>1597</v>
      </c>
      <c r="E185">
        <v>1457</v>
      </c>
      <c r="F185" s="14">
        <f>INDEX(Лист1!$D:$D,MATCH(I185,Лист1!$J:$J,0))</f>
        <v>2479396.5</v>
      </c>
      <c r="G185">
        <f>_xlfn.ISOWEEKNUM(Таблица2_2[[#This Row],[Дата]])</f>
        <v>20</v>
      </c>
      <c r="H185">
        <f>Таблица2_2[[#This Row],[Товарооборот, руб]]/Таблица2_2[[#This Row],[Количество складов]]</f>
        <v>118066.5</v>
      </c>
      <c r="I185" t="str">
        <f>--Таблица2_2[[#This Row],[Дата]]&amp;Таблица2_2[[#This Row],[Территория]]</f>
        <v>43962Кемерово</v>
      </c>
    </row>
    <row r="186" spans="1:9" x14ac:dyDescent="0.25">
      <c r="A186" s="12">
        <v>43962</v>
      </c>
      <c r="B186" s="13" t="s">
        <v>20</v>
      </c>
      <c r="C186">
        <v>19</v>
      </c>
      <c r="D186">
        <v>1527</v>
      </c>
      <c r="E186">
        <v>1389</v>
      </c>
      <c r="F186" s="14">
        <f>INDEX(Лист1!$D:$D,MATCH(I186,Лист1!$J:$J,0))</f>
        <v>2164365</v>
      </c>
      <c r="G186">
        <f>_xlfn.ISOWEEKNUM(Таблица2_2[[#This Row],[Дата]])</f>
        <v>20</v>
      </c>
      <c r="H186">
        <f>Таблица2_2[[#This Row],[Товарооборот, руб]]/Таблица2_2[[#This Row],[Количество складов]]</f>
        <v>113913.94736842105</v>
      </c>
      <c r="I186" t="str">
        <f>--Таблица2_2[[#This Row],[Дата]]&amp;Таблица2_2[[#This Row],[Территория]]</f>
        <v>43962Краснодар</v>
      </c>
    </row>
    <row r="187" spans="1:9" x14ac:dyDescent="0.25">
      <c r="A187" s="12">
        <v>43962</v>
      </c>
      <c r="B187" s="13" t="s">
        <v>22</v>
      </c>
      <c r="C187">
        <v>54</v>
      </c>
      <c r="D187">
        <v>10570</v>
      </c>
      <c r="E187">
        <v>9926</v>
      </c>
      <c r="F187" s="14">
        <f>INDEX(Лист1!$D:$D,MATCH(I187,Лист1!$J:$J,0))</f>
        <v>16971231</v>
      </c>
      <c r="G187">
        <f>_xlfn.ISOWEEKNUM(Таблица2_2[[#This Row],[Дата]])</f>
        <v>20</v>
      </c>
      <c r="H187">
        <f>Таблица2_2[[#This Row],[Товарооборот, руб]]/Таблица2_2[[#This Row],[Количество складов]]</f>
        <v>314282.05555555556</v>
      </c>
      <c r="I187" t="str">
        <f>--Таблица2_2[[#This Row],[Дата]]&amp;Таблица2_2[[#This Row],[Территория]]</f>
        <v>43962Москва Восток</v>
      </c>
    </row>
    <row r="188" spans="1:9" x14ac:dyDescent="0.25">
      <c r="A188" s="12">
        <v>43962</v>
      </c>
      <c r="B188" s="13" t="s">
        <v>21</v>
      </c>
      <c r="C188">
        <v>60</v>
      </c>
      <c r="D188">
        <v>11100</v>
      </c>
      <c r="E188">
        <v>10407</v>
      </c>
      <c r="F188" s="14">
        <f>INDEX(Лист1!$D:$D,MATCH(I188,Лист1!$J:$J,0))</f>
        <v>17919144</v>
      </c>
      <c r="G188">
        <f>_xlfn.ISOWEEKNUM(Таблица2_2[[#This Row],[Дата]])</f>
        <v>20</v>
      </c>
      <c r="H188">
        <f>Таблица2_2[[#This Row],[Товарооборот, руб]]/Таблица2_2[[#This Row],[Количество складов]]</f>
        <v>298652.40000000002</v>
      </c>
      <c r="I188" t="str">
        <f>--Таблица2_2[[#This Row],[Дата]]&amp;Таблица2_2[[#This Row],[Территория]]</f>
        <v>43962Москва Запад</v>
      </c>
    </row>
    <row r="189" spans="1:9" x14ac:dyDescent="0.25">
      <c r="A189" s="12">
        <v>43962</v>
      </c>
      <c r="B189" s="13" t="s">
        <v>13</v>
      </c>
      <c r="C189">
        <v>19</v>
      </c>
      <c r="D189">
        <v>2530</v>
      </c>
      <c r="E189">
        <v>2270</v>
      </c>
      <c r="F189" s="14">
        <f>INDEX(Лист1!$D:$D,MATCH(I189,Лист1!$J:$J,0))</f>
        <v>3911979</v>
      </c>
      <c r="G189">
        <f>_xlfn.ISOWEEKNUM(Таблица2_2[[#This Row],[Дата]])</f>
        <v>20</v>
      </c>
      <c r="H189">
        <f>Таблица2_2[[#This Row],[Товарооборот, руб]]/Таблица2_2[[#This Row],[Количество складов]]</f>
        <v>205893.63157894736</v>
      </c>
      <c r="I189" t="str">
        <f>--Таблица2_2[[#This Row],[Дата]]&amp;Таблица2_2[[#This Row],[Территория]]</f>
        <v>43962Нижний Новгород</v>
      </c>
    </row>
    <row r="190" spans="1:9" x14ac:dyDescent="0.25">
      <c r="A190" s="12">
        <v>43962</v>
      </c>
      <c r="B190" s="13" t="s">
        <v>23</v>
      </c>
      <c r="C190">
        <v>15</v>
      </c>
      <c r="D190">
        <v>654</v>
      </c>
      <c r="E190">
        <v>564</v>
      </c>
      <c r="F190" s="14">
        <f>INDEX(Лист1!$D:$D,MATCH(I190,Лист1!$J:$J,0))</f>
        <v>880356</v>
      </c>
      <c r="G190">
        <f>_xlfn.ISOWEEKNUM(Таблица2_2[[#This Row],[Дата]])</f>
        <v>20</v>
      </c>
      <c r="H190">
        <f>Таблица2_2[[#This Row],[Товарооборот, руб]]/Таблица2_2[[#This Row],[Количество складов]]</f>
        <v>58690.400000000001</v>
      </c>
      <c r="I190" t="str">
        <f>--Таблица2_2[[#This Row],[Дата]]&amp;Таблица2_2[[#This Row],[Территория]]</f>
        <v>43962Новосибирск</v>
      </c>
    </row>
    <row r="191" spans="1:9" x14ac:dyDescent="0.25">
      <c r="A191" s="12">
        <v>43962</v>
      </c>
      <c r="B191" s="13" t="s">
        <v>18</v>
      </c>
      <c r="C191">
        <v>15</v>
      </c>
      <c r="D191">
        <v>812</v>
      </c>
      <c r="E191">
        <v>714</v>
      </c>
      <c r="F191" s="14">
        <f>INDEX(Лист1!$D:$D,MATCH(I191,Лист1!$J:$J,0))</f>
        <v>1096002</v>
      </c>
      <c r="G191">
        <f>_xlfn.ISOWEEKNUM(Таблица2_2[[#This Row],[Дата]])</f>
        <v>20</v>
      </c>
      <c r="H191">
        <f>Таблица2_2[[#This Row],[Товарооборот, руб]]/Таблица2_2[[#This Row],[Количество складов]]</f>
        <v>73066.8</v>
      </c>
      <c r="I191" t="str">
        <f>--Таблица2_2[[#This Row],[Дата]]&amp;Таблица2_2[[#This Row],[Территория]]</f>
        <v>43962Пермь</v>
      </c>
    </row>
    <row r="192" spans="1:9" x14ac:dyDescent="0.25">
      <c r="A192" s="12">
        <v>43962</v>
      </c>
      <c r="B192" s="13" t="s">
        <v>19</v>
      </c>
      <c r="C192">
        <v>15</v>
      </c>
      <c r="D192">
        <v>684</v>
      </c>
      <c r="E192">
        <v>585</v>
      </c>
      <c r="F192" s="14">
        <f>INDEX(Лист1!$D:$D,MATCH(I192,Лист1!$J:$J,0))</f>
        <v>1081158</v>
      </c>
      <c r="G192">
        <f>_xlfn.ISOWEEKNUM(Таблица2_2[[#This Row],[Дата]])</f>
        <v>20</v>
      </c>
      <c r="H192">
        <f>Таблица2_2[[#This Row],[Товарооборот, руб]]/Таблица2_2[[#This Row],[Количество складов]]</f>
        <v>72077.2</v>
      </c>
      <c r="I192" t="str">
        <f>--Таблица2_2[[#This Row],[Дата]]&amp;Таблица2_2[[#This Row],[Территория]]</f>
        <v>43962Ростов-на-Дону</v>
      </c>
    </row>
    <row r="193" spans="1:9" x14ac:dyDescent="0.25">
      <c r="A193" s="12">
        <v>43962</v>
      </c>
      <c r="B193" s="13" t="s">
        <v>15</v>
      </c>
      <c r="C193">
        <v>125</v>
      </c>
      <c r="D193">
        <v>18066</v>
      </c>
      <c r="E193">
        <v>16883</v>
      </c>
      <c r="F193" s="14">
        <f>INDEX(Лист1!$D:$D,MATCH(I193,Лист1!$J:$J,0))</f>
        <v>33781581</v>
      </c>
      <c r="G193">
        <f>_xlfn.ISOWEEKNUM(Таблица2_2[[#This Row],[Дата]])</f>
        <v>20</v>
      </c>
      <c r="H193">
        <f>Таблица2_2[[#This Row],[Товарооборот, руб]]/Таблица2_2[[#This Row],[Количество складов]]</f>
        <v>270252.64799999999</v>
      </c>
      <c r="I193" t="str">
        <f>--Таблица2_2[[#This Row],[Дата]]&amp;Таблица2_2[[#This Row],[Территория]]</f>
        <v>43962Санкт-Петербург Север</v>
      </c>
    </row>
    <row r="194" spans="1:9" x14ac:dyDescent="0.25">
      <c r="A194" s="12">
        <v>43962</v>
      </c>
      <c r="B194" s="13" t="s">
        <v>14</v>
      </c>
      <c r="C194">
        <v>129</v>
      </c>
      <c r="D194">
        <v>14043</v>
      </c>
      <c r="E194">
        <v>13167</v>
      </c>
      <c r="F194" s="14">
        <f>INDEX(Лист1!$D:$D,MATCH(I194,Лист1!$J:$J,0))</f>
        <v>24628233.223949999</v>
      </c>
      <c r="G194">
        <f>_xlfn.ISOWEEKNUM(Таблица2_2[[#This Row],[Дата]])</f>
        <v>20</v>
      </c>
      <c r="H194">
        <f>Таблица2_2[[#This Row],[Товарооборот, руб]]/Таблица2_2[[#This Row],[Количество складов]]</f>
        <v>190916.53661976743</v>
      </c>
      <c r="I194" t="str">
        <f>--Таблица2_2[[#This Row],[Дата]]&amp;Таблица2_2[[#This Row],[Территория]]</f>
        <v>43962Санкт-Петербург Юг</v>
      </c>
    </row>
    <row r="195" spans="1:9" x14ac:dyDescent="0.25">
      <c r="A195" s="12">
        <v>43962</v>
      </c>
      <c r="B195" s="13" t="s">
        <v>12</v>
      </c>
      <c r="C195">
        <v>10</v>
      </c>
      <c r="D195">
        <v>494</v>
      </c>
      <c r="E195">
        <v>421</v>
      </c>
      <c r="F195" s="14">
        <f>INDEX(Лист1!$D:$D,MATCH(I195,Лист1!$J:$J,0))</f>
        <v>734335.5</v>
      </c>
      <c r="G195">
        <f>_xlfn.ISOWEEKNUM(Таблица2_2[[#This Row],[Дата]])</f>
        <v>20</v>
      </c>
      <c r="H195">
        <f>Таблица2_2[[#This Row],[Товарооборот, руб]]/Таблица2_2[[#This Row],[Количество складов]]</f>
        <v>73433.55</v>
      </c>
      <c r="I195" t="str">
        <f>--Таблица2_2[[#This Row],[Дата]]&amp;Таблица2_2[[#This Row],[Территория]]</f>
        <v>43962Тольятти</v>
      </c>
    </row>
    <row r="196" spans="1:9" x14ac:dyDescent="0.25">
      <c r="A196" s="12">
        <v>43963</v>
      </c>
      <c r="B196" s="13" t="s">
        <v>16</v>
      </c>
      <c r="C196">
        <v>36</v>
      </c>
      <c r="D196">
        <v>4418</v>
      </c>
      <c r="E196">
        <v>4088</v>
      </c>
      <c r="F196" s="14">
        <f>INDEX(Лист1!$D:$D,MATCH(I196,Лист1!$J:$J,0))</f>
        <v>5523145.5</v>
      </c>
      <c r="G196">
        <f>_xlfn.ISOWEEKNUM(Таблица2_2[[#This Row],[Дата]])</f>
        <v>20</v>
      </c>
      <c r="H196">
        <f>Таблица2_2[[#This Row],[Товарооборот, руб]]/Таблица2_2[[#This Row],[Количество складов]]</f>
        <v>153420.70833333334</v>
      </c>
      <c r="I196" t="str">
        <f>--Таблица2_2[[#This Row],[Дата]]&amp;Таблица2_2[[#This Row],[Территория]]</f>
        <v>43963Волгоград</v>
      </c>
    </row>
    <row r="197" spans="1:9" x14ac:dyDescent="0.25">
      <c r="A197" s="12">
        <v>43963</v>
      </c>
      <c r="B197" s="13" t="s">
        <v>11</v>
      </c>
      <c r="C197">
        <v>31</v>
      </c>
      <c r="D197">
        <v>4800</v>
      </c>
      <c r="E197">
        <v>4470</v>
      </c>
      <c r="F197" s="14">
        <f>INDEX(Лист1!$D:$D,MATCH(I197,Лист1!$J:$J,0))</f>
        <v>6398361</v>
      </c>
      <c r="G197">
        <f>_xlfn.ISOWEEKNUM(Таблица2_2[[#This Row],[Дата]])</f>
        <v>20</v>
      </c>
      <c r="H197">
        <f>Таблица2_2[[#This Row],[Товарооборот, руб]]/Таблица2_2[[#This Row],[Количество складов]]</f>
        <v>206398.74193548388</v>
      </c>
      <c r="I197" t="str">
        <f>--Таблица2_2[[#This Row],[Дата]]&amp;Таблица2_2[[#This Row],[Территория]]</f>
        <v>43963Екатеринбург</v>
      </c>
    </row>
    <row r="198" spans="1:9" x14ac:dyDescent="0.25">
      <c r="A198" s="12">
        <v>43963</v>
      </c>
      <c r="B198" s="13" t="s">
        <v>17</v>
      </c>
      <c r="C198">
        <v>21</v>
      </c>
      <c r="D198">
        <v>1926</v>
      </c>
      <c r="E198">
        <v>1745</v>
      </c>
      <c r="F198" s="14">
        <f>INDEX(Лист1!$D:$D,MATCH(I198,Лист1!$J:$J,0))</f>
        <v>3080614.5</v>
      </c>
      <c r="G198">
        <f>_xlfn.ISOWEEKNUM(Таблица2_2[[#This Row],[Дата]])</f>
        <v>20</v>
      </c>
      <c r="H198">
        <f>Таблица2_2[[#This Row],[Товарооборот, руб]]/Таблица2_2[[#This Row],[Количество складов]]</f>
        <v>146695.92857142858</v>
      </c>
      <c r="I198" t="str">
        <f>--Таблица2_2[[#This Row],[Дата]]&amp;Таблица2_2[[#This Row],[Территория]]</f>
        <v>43963Казань</v>
      </c>
    </row>
    <row r="199" spans="1:9" x14ac:dyDescent="0.25">
      <c r="A199" s="12">
        <v>43963</v>
      </c>
      <c r="B199" s="13" t="s">
        <v>10</v>
      </c>
      <c r="C199">
        <v>21</v>
      </c>
      <c r="D199">
        <v>1656</v>
      </c>
      <c r="E199">
        <v>1516</v>
      </c>
      <c r="F199" s="14">
        <f>INDEX(Лист1!$D:$D,MATCH(I199,Лист1!$J:$J,0))</f>
        <v>2595778.5</v>
      </c>
      <c r="G199">
        <f>_xlfn.ISOWEEKNUM(Таблица2_2[[#This Row],[Дата]])</f>
        <v>20</v>
      </c>
      <c r="H199">
        <f>Таблица2_2[[#This Row],[Товарооборот, руб]]/Таблица2_2[[#This Row],[Количество складов]]</f>
        <v>123608.5</v>
      </c>
      <c r="I199" t="str">
        <f>--Таблица2_2[[#This Row],[Дата]]&amp;Таблица2_2[[#This Row],[Территория]]</f>
        <v>43963Кемерово</v>
      </c>
    </row>
    <row r="200" spans="1:9" x14ac:dyDescent="0.25">
      <c r="A200" s="12">
        <v>43963</v>
      </c>
      <c r="B200" s="13" t="s">
        <v>20</v>
      </c>
      <c r="C200">
        <v>19</v>
      </c>
      <c r="D200">
        <v>1598</v>
      </c>
      <c r="E200">
        <v>1454</v>
      </c>
      <c r="F200" s="14">
        <f>INDEX(Лист1!$D:$D,MATCH(I200,Лист1!$J:$J,0))</f>
        <v>2243160</v>
      </c>
      <c r="G200">
        <f>_xlfn.ISOWEEKNUM(Таблица2_2[[#This Row],[Дата]])</f>
        <v>20</v>
      </c>
      <c r="H200">
        <f>Таблица2_2[[#This Row],[Товарооборот, руб]]/Таблица2_2[[#This Row],[Количество складов]]</f>
        <v>118061.05263157895</v>
      </c>
      <c r="I200" t="str">
        <f>--Таблица2_2[[#This Row],[Дата]]&amp;Таблица2_2[[#This Row],[Территория]]</f>
        <v>43963Краснодар</v>
      </c>
    </row>
    <row r="201" spans="1:9" x14ac:dyDescent="0.25">
      <c r="A201" s="12">
        <v>43963</v>
      </c>
      <c r="B201" s="13" t="s">
        <v>22</v>
      </c>
      <c r="C201">
        <v>54</v>
      </c>
      <c r="D201">
        <v>11614</v>
      </c>
      <c r="E201">
        <v>10862</v>
      </c>
      <c r="F201" s="14">
        <f>INDEX(Лист1!$D:$D,MATCH(I201,Лист1!$J:$J,0))</f>
        <v>18718036.5</v>
      </c>
      <c r="G201">
        <f>_xlfn.ISOWEEKNUM(Таблица2_2[[#This Row],[Дата]])</f>
        <v>20</v>
      </c>
      <c r="H201">
        <f>Таблица2_2[[#This Row],[Товарооборот, руб]]/Таблица2_2[[#This Row],[Количество складов]]</f>
        <v>346630.30555555556</v>
      </c>
      <c r="I201" t="str">
        <f>--Таблица2_2[[#This Row],[Дата]]&amp;Таблица2_2[[#This Row],[Территория]]</f>
        <v>43963Москва Восток</v>
      </c>
    </row>
    <row r="202" spans="1:9" x14ac:dyDescent="0.25">
      <c r="A202" s="12">
        <v>43963</v>
      </c>
      <c r="B202" s="13" t="s">
        <v>21</v>
      </c>
      <c r="C202">
        <v>60</v>
      </c>
      <c r="D202">
        <v>12000</v>
      </c>
      <c r="E202">
        <v>11194</v>
      </c>
      <c r="F202" s="14">
        <f>INDEX(Лист1!$D:$D,MATCH(I202,Лист1!$J:$J,0))</f>
        <v>19205179.5</v>
      </c>
      <c r="G202">
        <f>_xlfn.ISOWEEKNUM(Таблица2_2[[#This Row],[Дата]])</f>
        <v>20</v>
      </c>
      <c r="H202">
        <f>Таблица2_2[[#This Row],[Товарооборот, руб]]/Таблица2_2[[#This Row],[Количество складов]]</f>
        <v>320086.32500000001</v>
      </c>
      <c r="I202" t="str">
        <f>--Таблица2_2[[#This Row],[Дата]]&amp;Таблица2_2[[#This Row],[Территория]]</f>
        <v>43963Москва Запад</v>
      </c>
    </row>
    <row r="203" spans="1:9" x14ac:dyDescent="0.25">
      <c r="A203" s="12">
        <v>43963</v>
      </c>
      <c r="B203" s="13" t="s">
        <v>13</v>
      </c>
      <c r="C203">
        <v>19</v>
      </c>
      <c r="D203">
        <v>1649</v>
      </c>
      <c r="E203">
        <v>1460</v>
      </c>
      <c r="F203" s="14">
        <f>INDEX(Лист1!$D:$D,MATCH(I203,Лист1!$J:$J,0))</f>
        <v>2370432</v>
      </c>
      <c r="G203">
        <f>_xlfn.ISOWEEKNUM(Таблица2_2[[#This Row],[Дата]])</f>
        <v>20</v>
      </c>
      <c r="H203">
        <f>Таблица2_2[[#This Row],[Товарооборот, руб]]/Таблица2_2[[#This Row],[Количество складов]]</f>
        <v>124759.57894736843</v>
      </c>
      <c r="I203" t="str">
        <f>--Таблица2_2[[#This Row],[Дата]]&amp;Таблица2_2[[#This Row],[Территория]]</f>
        <v>43963Нижний Новгород</v>
      </c>
    </row>
    <row r="204" spans="1:9" x14ac:dyDescent="0.25">
      <c r="A204" s="12">
        <v>43963</v>
      </c>
      <c r="B204" s="13" t="s">
        <v>23</v>
      </c>
      <c r="C204">
        <v>15</v>
      </c>
      <c r="D204">
        <v>750</v>
      </c>
      <c r="E204">
        <v>659</v>
      </c>
      <c r="F204" s="14">
        <f>INDEX(Лист1!$D:$D,MATCH(I204,Лист1!$J:$J,0))</f>
        <v>1092277.5</v>
      </c>
      <c r="G204">
        <f>_xlfn.ISOWEEKNUM(Таблица2_2[[#This Row],[Дата]])</f>
        <v>20</v>
      </c>
      <c r="H204">
        <f>Таблица2_2[[#This Row],[Товарооборот, руб]]/Таблица2_2[[#This Row],[Количество складов]]</f>
        <v>72818.5</v>
      </c>
      <c r="I204" t="str">
        <f>--Таблица2_2[[#This Row],[Дата]]&amp;Таблица2_2[[#This Row],[Территория]]</f>
        <v>43963Новосибирск</v>
      </c>
    </row>
    <row r="205" spans="1:9" x14ac:dyDescent="0.25">
      <c r="A205" s="12">
        <v>43963</v>
      </c>
      <c r="B205" s="13" t="s">
        <v>18</v>
      </c>
      <c r="C205">
        <v>15</v>
      </c>
      <c r="D205">
        <v>845</v>
      </c>
      <c r="E205">
        <v>743</v>
      </c>
      <c r="F205" s="14">
        <f>INDEX(Лист1!$D:$D,MATCH(I205,Лист1!$J:$J,0))</f>
        <v>1123830</v>
      </c>
      <c r="G205">
        <f>_xlfn.ISOWEEKNUM(Таблица2_2[[#This Row],[Дата]])</f>
        <v>20</v>
      </c>
      <c r="H205">
        <f>Таблица2_2[[#This Row],[Товарооборот, руб]]/Таблица2_2[[#This Row],[Количество складов]]</f>
        <v>74922</v>
      </c>
      <c r="I205" t="str">
        <f>--Таблица2_2[[#This Row],[Дата]]&amp;Таблица2_2[[#This Row],[Территория]]</f>
        <v>43963Пермь</v>
      </c>
    </row>
    <row r="206" spans="1:9" x14ac:dyDescent="0.25">
      <c r="A206" s="12">
        <v>43963</v>
      </c>
      <c r="B206" s="13" t="s">
        <v>19</v>
      </c>
      <c r="C206">
        <v>15</v>
      </c>
      <c r="D206">
        <v>624</v>
      </c>
      <c r="E206">
        <v>538</v>
      </c>
      <c r="F206" s="14">
        <f>INDEX(Лист1!$D:$D,MATCH(I206,Лист1!$J:$J,0))</f>
        <v>989632.5</v>
      </c>
      <c r="G206">
        <f>_xlfn.ISOWEEKNUM(Таблица2_2[[#This Row],[Дата]])</f>
        <v>20</v>
      </c>
      <c r="H206">
        <f>Таблица2_2[[#This Row],[Товарооборот, руб]]/Таблица2_2[[#This Row],[Количество складов]]</f>
        <v>65975.5</v>
      </c>
      <c r="I206" t="str">
        <f>--Таблица2_2[[#This Row],[Дата]]&amp;Таблица2_2[[#This Row],[Территория]]</f>
        <v>43963Ростов-на-Дону</v>
      </c>
    </row>
    <row r="207" spans="1:9" x14ac:dyDescent="0.25">
      <c r="A207" s="12">
        <v>43963</v>
      </c>
      <c r="B207" s="13" t="s">
        <v>15</v>
      </c>
      <c r="C207">
        <v>125</v>
      </c>
      <c r="D207">
        <v>21106</v>
      </c>
      <c r="E207">
        <v>19651</v>
      </c>
      <c r="F207" s="14">
        <f>INDEX(Лист1!$D:$D,MATCH(I207,Лист1!$J:$J,0))</f>
        <v>39578577</v>
      </c>
      <c r="G207">
        <f>_xlfn.ISOWEEKNUM(Таблица2_2[[#This Row],[Дата]])</f>
        <v>20</v>
      </c>
      <c r="H207">
        <f>Таблица2_2[[#This Row],[Товарооборот, руб]]/Таблица2_2[[#This Row],[Количество складов]]</f>
        <v>316628.61599999998</v>
      </c>
      <c r="I207" t="str">
        <f>--Таблица2_2[[#This Row],[Дата]]&amp;Таблица2_2[[#This Row],[Территория]]</f>
        <v>43963Санкт-Петербург Север</v>
      </c>
    </row>
    <row r="208" spans="1:9" x14ac:dyDescent="0.25">
      <c r="A208" s="12">
        <v>43963</v>
      </c>
      <c r="B208" s="13" t="s">
        <v>14</v>
      </c>
      <c r="C208">
        <v>129</v>
      </c>
      <c r="D208">
        <v>16387</v>
      </c>
      <c r="E208">
        <v>15322</v>
      </c>
      <c r="F208" s="14">
        <f>INDEX(Лист1!$D:$D,MATCH(I208,Лист1!$J:$J,0))</f>
        <v>29042520</v>
      </c>
      <c r="G208">
        <f>_xlfn.ISOWEEKNUM(Таблица2_2[[#This Row],[Дата]])</f>
        <v>20</v>
      </c>
      <c r="H208">
        <f>Таблица2_2[[#This Row],[Товарооборот, руб]]/Таблица2_2[[#This Row],[Количество складов]]</f>
        <v>225135.81395348837</v>
      </c>
      <c r="I208" t="str">
        <f>--Таблица2_2[[#This Row],[Дата]]&amp;Таблица2_2[[#This Row],[Территория]]</f>
        <v>43963Санкт-Петербург Юг</v>
      </c>
    </row>
    <row r="209" spans="1:9" x14ac:dyDescent="0.25">
      <c r="A209" s="12">
        <v>43963</v>
      </c>
      <c r="B209" s="13" t="s">
        <v>12</v>
      </c>
      <c r="C209">
        <v>10</v>
      </c>
      <c r="D209">
        <v>526</v>
      </c>
      <c r="E209">
        <v>448</v>
      </c>
      <c r="F209" s="14">
        <f>INDEX(Лист1!$D:$D,MATCH(I209,Лист1!$J:$J,0))</f>
        <v>732964.5</v>
      </c>
      <c r="G209">
        <f>_xlfn.ISOWEEKNUM(Таблица2_2[[#This Row],[Дата]])</f>
        <v>20</v>
      </c>
      <c r="H209">
        <f>Таблица2_2[[#This Row],[Товарооборот, руб]]/Таблица2_2[[#This Row],[Количество складов]]</f>
        <v>73296.45</v>
      </c>
      <c r="I209" t="str">
        <f>--Таблица2_2[[#This Row],[Дата]]&amp;Таблица2_2[[#This Row],[Территория]]</f>
        <v>43963Тольятти</v>
      </c>
    </row>
    <row r="210" spans="1:9" x14ac:dyDescent="0.25">
      <c r="A210" s="12">
        <v>43964</v>
      </c>
      <c r="B210" s="13" t="s">
        <v>16</v>
      </c>
      <c r="C210">
        <v>36</v>
      </c>
      <c r="D210">
        <v>4967</v>
      </c>
      <c r="E210">
        <v>4583</v>
      </c>
      <c r="F210" s="14">
        <f>INDEX(Лист1!$D:$D,MATCH(I210,Лист1!$J:$J,0))</f>
        <v>6333828</v>
      </c>
      <c r="G210">
        <f>_xlfn.ISOWEEKNUM(Таблица2_2[[#This Row],[Дата]])</f>
        <v>20</v>
      </c>
      <c r="H210">
        <f>Таблица2_2[[#This Row],[Товарооборот, руб]]/Таблица2_2[[#This Row],[Количество складов]]</f>
        <v>175939.66666666666</v>
      </c>
      <c r="I210" t="str">
        <f>--Таблица2_2[[#This Row],[Дата]]&amp;Таблица2_2[[#This Row],[Территория]]</f>
        <v>43964Волгоград</v>
      </c>
    </row>
    <row r="211" spans="1:9" x14ac:dyDescent="0.25">
      <c r="A211" s="12">
        <v>43964</v>
      </c>
      <c r="B211" s="13" t="s">
        <v>11</v>
      </c>
      <c r="C211">
        <v>31</v>
      </c>
      <c r="D211">
        <v>5251</v>
      </c>
      <c r="E211">
        <v>4853</v>
      </c>
      <c r="F211" s="14">
        <f>INDEX(Лист1!$D:$D,MATCH(I211,Лист1!$J:$J,0))</f>
        <v>6993952.5</v>
      </c>
      <c r="G211">
        <f>_xlfn.ISOWEEKNUM(Таблица2_2[[#This Row],[Дата]])</f>
        <v>20</v>
      </c>
      <c r="H211">
        <f>Таблица2_2[[#This Row],[Товарооборот, руб]]/Таблица2_2[[#This Row],[Количество складов]]</f>
        <v>225611.37096774194</v>
      </c>
      <c r="I211" t="str">
        <f>--Таблица2_2[[#This Row],[Дата]]&amp;Таблица2_2[[#This Row],[Территория]]</f>
        <v>43964Екатеринбург</v>
      </c>
    </row>
    <row r="212" spans="1:9" x14ac:dyDescent="0.25">
      <c r="A212" s="12">
        <v>43964</v>
      </c>
      <c r="B212" s="13" t="s">
        <v>17</v>
      </c>
      <c r="C212">
        <v>21</v>
      </c>
      <c r="D212">
        <v>2061</v>
      </c>
      <c r="E212">
        <v>1876</v>
      </c>
      <c r="F212" s="14">
        <f>INDEX(Лист1!$D:$D,MATCH(I212,Лист1!$J:$J,0))</f>
        <v>3288069</v>
      </c>
      <c r="G212">
        <f>_xlfn.ISOWEEKNUM(Таблица2_2[[#This Row],[Дата]])</f>
        <v>20</v>
      </c>
      <c r="H212">
        <f>Таблица2_2[[#This Row],[Товарооборот, руб]]/Таблица2_2[[#This Row],[Количество складов]]</f>
        <v>156574.71428571429</v>
      </c>
      <c r="I212" t="str">
        <f>--Таблица2_2[[#This Row],[Дата]]&amp;Таблица2_2[[#This Row],[Территория]]</f>
        <v>43964Казань</v>
      </c>
    </row>
    <row r="213" spans="1:9" x14ac:dyDescent="0.25">
      <c r="A213" s="12">
        <v>43964</v>
      </c>
      <c r="B213" s="13" t="s">
        <v>10</v>
      </c>
      <c r="C213">
        <v>21</v>
      </c>
      <c r="D213">
        <v>1698</v>
      </c>
      <c r="E213">
        <v>1554</v>
      </c>
      <c r="F213" s="14">
        <f>INDEX(Лист1!$D:$D,MATCH(I213,Лист1!$J:$J,0))</f>
        <v>2629782</v>
      </c>
      <c r="G213">
        <f>_xlfn.ISOWEEKNUM(Таблица2_2[[#This Row],[Дата]])</f>
        <v>20</v>
      </c>
      <c r="H213">
        <f>Таблица2_2[[#This Row],[Товарооборот, руб]]/Таблица2_2[[#This Row],[Количество складов]]</f>
        <v>125227.71428571429</v>
      </c>
      <c r="I213" t="str">
        <f>--Таблица2_2[[#This Row],[Дата]]&amp;Таблица2_2[[#This Row],[Территория]]</f>
        <v>43964Кемерово</v>
      </c>
    </row>
    <row r="214" spans="1:9" x14ac:dyDescent="0.25">
      <c r="A214" s="12">
        <v>43964</v>
      </c>
      <c r="B214" s="13" t="s">
        <v>20</v>
      </c>
      <c r="C214">
        <v>19</v>
      </c>
      <c r="D214">
        <v>1605</v>
      </c>
      <c r="E214">
        <v>1447</v>
      </c>
      <c r="F214" s="14">
        <f>INDEX(Лист1!$D:$D,MATCH(I214,Лист1!$J:$J,0))</f>
        <v>2263651.5</v>
      </c>
      <c r="G214">
        <f>_xlfn.ISOWEEKNUM(Таблица2_2[[#This Row],[Дата]])</f>
        <v>20</v>
      </c>
      <c r="H214">
        <f>Таблица2_2[[#This Row],[Товарооборот, руб]]/Таблица2_2[[#This Row],[Количество складов]]</f>
        <v>119139.55263157895</v>
      </c>
      <c r="I214" t="str">
        <f>--Таблица2_2[[#This Row],[Дата]]&amp;Таблица2_2[[#This Row],[Территория]]</f>
        <v>43964Краснодар</v>
      </c>
    </row>
    <row r="215" spans="1:9" x14ac:dyDescent="0.25">
      <c r="A215" s="12">
        <v>43964</v>
      </c>
      <c r="B215" s="13" t="s">
        <v>22</v>
      </c>
      <c r="C215">
        <v>54</v>
      </c>
      <c r="D215">
        <v>11522</v>
      </c>
      <c r="E215">
        <v>10803</v>
      </c>
      <c r="F215" s="14">
        <f>INDEX(Лист1!$D:$D,MATCH(I215,Лист1!$J:$J,0))</f>
        <v>18784000.5</v>
      </c>
      <c r="G215">
        <f>_xlfn.ISOWEEKNUM(Таблица2_2[[#This Row],[Дата]])</f>
        <v>20</v>
      </c>
      <c r="H215">
        <f>Таблица2_2[[#This Row],[Товарооборот, руб]]/Таблица2_2[[#This Row],[Количество складов]]</f>
        <v>347851.86111111112</v>
      </c>
      <c r="I215" t="str">
        <f>--Таблица2_2[[#This Row],[Дата]]&amp;Таблица2_2[[#This Row],[Территория]]</f>
        <v>43964Москва Восток</v>
      </c>
    </row>
    <row r="216" spans="1:9" x14ac:dyDescent="0.25">
      <c r="A216" s="12">
        <v>43964</v>
      </c>
      <c r="B216" s="13" t="s">
        <v>21</v>
      </c>
      <c r="C216">
        <v>60</v>
      </c>
      <c r="D216">
        <v>12007</v>
      </c>
      <c r="E216">
        <v>11245</v>
      </c>
      <c r="F216" s="14">
        <f>INDEX(Лист1!$D:$D,MATCH(I216,Лист1!$J:$J,0))</f>
        <v>19437273</v>
      </c>
      <c r="G216">
        <f>_xlfn.ISOWEEKNUM(Таблица2_2[[#This Row],[Дата]])</f>
        <v>20</v>
      </c>
      <c r="H216">
        <f>Таблица2_2[[#This Row],[Товарооборот, руб]]/Таблица2_2[[#This Row],[Количество складов]]</f>
        <v>323954.55</v>
      </c>
      <c r="I216" t="str">
        <f>--Таблица2_2[[#This Row],[Дата]]&amp;Таблица2_2[[#This Row],[Территория]]</f>
        <v>43964Москва Запад</v>
      </c>
    </row>
    <row r="217" spans="1:9" x14ac:dyDescent="0.25">
      <c r="A217" s="12">
        <v>43964</v>
      </c>
      <c r="B217" s="13" t="s">
        <v>13</v>
      </c>
      <c r="C217">
        <v>19</v>
      </c>
      <c r="D217">
        <v>1625</v>
      </c>
      <c r="E217">
        <v>1444</v>
      </c>
      <c r="F217" s="14">
        <f>INDEX(Лист1!$D:$D,MATCH(I217,Лист1!$J:$J,0))</f>
        <v>2373337.5</v>
      </c>
      <c r="G217">
        <f>_xlfn.ISOWEEKNUM(Таблица2_2[[#This Row],[Дата]])</f>
        <v>20</v>
      </c>
      <c r="H217">
        <f>Таблица2_2[[#This Row],[Товарооборот, руб]]/Таблица2_2[[#This Row],[Количество складов]]</f>
        <v>124912.5</v>
      </c>
      <c r="I217" t="str">
        <f>--Таблица2_2[[#This Row],[Дата]]&amp;Таблица2_2[[#This Row],[Территория]]</f>
        <v>43964Нижний Новгород</v>
      </c>
    </row>
    <row r="218" spans="1:9" x14ac:dyDescent="0.25">
      <c r="A218" s="12">
        <v>43964</v>
      </c>
      <c r="B218" s="13" t="s">
        <v>23</v>
      </c>
      <c r="C218">
        <v>15</v>
      </c>
      <c r="D218">
        <v>854</v>
      </c>
      <c r="E218">
        <v>756</v>
      </c>
      <c r="F218" s="14">
        <f>INDEX(Лист1!$D:$D,MATCH(I218,Лист1!$J:$J,0))</f>
        <v>1172691</v>
      </c>
      <c r="G218">
        <f>_xlfn.ISOWEEKNUM(Таблица2_2[[#This Row],[Дата]])</f>
        <v>20</v>
      </c>
      <c r="H218">
        <f>Таблица2_2[[#This Row],[Товарооборот, руб]]/Таблица2_2[[#This Row],[Количество складов]]</f>
        <v>78179.399999999994</v>
      </c>
      <c r="I218" t="str">
        <f>--Таблица2_2[[#This Row],[Дата]]&amp;Таблица2_2[[#This Row],[Территория]]</f>
        <v>43964Новосибирск</v>
      </c>
    </row>
    <row r="219" spans="1:9" x14ac:dyDescent="0.25">
      <c r="A219" s="12">
        <v>43964</v>
      </c>
      <c r="B219" s="13" t="s">
        <v>18</v>
      </c>
      <c r="C219">
        <v>15</v>
      </c>
      <c r="D219">
        <v>898</v>
      </c>
      <c r="E219">
        <v>795</v>
      </c>
      <c r="F219" s="14">
        <f>INDEX(Лист1!$D:$D,MATCH(I219,Лист1!$J:$J,0))</f>
        <v>1243507.5</v>
      </c>
      <c r="G219">
        <f>_xlfn.ISOWEEKNUM(Таблица2_2[[#This Row],[Дата]])</f>
        <v>20</v>
      </c>
      <c r="H219">
        <f>Таблица2_2[[#This Row],[Товарооборот, руб]]/Таблица2_2[[#This Row],[Количество складов]]</f>
        <v>82900.5</v>
      </c>
      <c r="I219" t="str">
        <f>--Таблица2_2[[#This Row],[Дата]]&amp;Таблица2_2[[#This Row],[Территория]]</f>
        <v>43964Пермь</v>
      </c>
    </row>
    <row r="220" spans="1:9" x14ac:dyDescent="0.25">
      <c r="A220" s="12">
        <v>43964</v>
      </c>
      <c r="B220" s="13" t="s">
        <v>19</v>
      </c>
      <c r="C220">
        <v>15</v>
      </c>
      <c r="D220">
        <v>599</v>
      </c>
      <c r="E220">
        <v>515</v>
      </c>
      <c r="F220" s="14">
        <f>INDEX(Лист1!$D:$D,MATCH(I220,Лист1!$J:$J,0))</f>
        <v>949912.5</v>
      </c>
      <c r="G220">
        <f>_xlfn.ISOWEEKNUM(Таблица2_2[[#This Row],[Дата]])</f>
        <v>20</v>
      </c>
      <c r="H220">
        <f>Таблица2_2[[#This Row],[Товарооборот, руб]]/Таблица2_2[[#This Row],[Количество складов]]</f>
        <v>63327.5</v>
      </c>
      <c r="I220" t="str">
        <f>--Таблица2_2[[#This Row],[Дата]]&amp;Таблица2_2[[#This Row],[Территория]]</f>
        <v>43964Ростов-на-Дону</v>
      </c>
    </row>
    <row r="221" spans="1:9" x14ac:dyDescent="0.25">
      <c r="A221" s="12">
        <v>43964</v>
      </c>
      <c r="B221" s="13" t="s">
        <v>15</v>
      </c>
      <c r="C221">
        <v>125</v>
      </c>
      <c r="D221">
        <v>19965</v>
      </c>
      <c r="E221">
        <v>18573</v>
      </c>
      <c r="F221" s="14">
        <f>INDEX(Лист1!$D:$D,MATCH(I221,Лист1!$J:$J,0))</f>
        <v>37197115.5</v>
      </c>
      <c r="G221">
        <f>_xlfn.ISOWEEKNUM(Таблица2_2[[#This Row],[Дата]])</f>
        <v>20</v>
      </c>
      <c r="H221">
        <f>Таблица2_2[[#This Row],[Товарооборот, руб]]/Таблица2_2[[#This Row],[Количество складов]]</f>
        <v>297576.924</v>
      </c>
      <c r="I221" t="str">
        <f>--Таблица2_2[[#This Row],[Дата]]&amp;Таблица2_2[[#This Row],[Территория]]</f>
        <v>43964Санкт-Петербург Север</v>
      </c>
    </row>
    <row r="222" spans="1:9" x14ac:dyDescent="0.25">
      <c r="A222" s="12">
        <v>43964</v>
      </c>
      <c r="B222" s="13" t="s">
        <v>14</v>
      </c>
      <c r="C222">
        <v>129</v>
      </c>
      <c r="D222">
        <v>15304</v>
      </c>
      <c r="E222">
        <v>14315</v>
      </c>
      <c r="F222" s="14">
        <f>INDEX(Лист1!$D:$D,MATCH(I222,Лист1!$J:$J,0))</f>
        <v>26467453.5</v>
      </c>
      <c r="G222">
        <f>_xlfn.ISOWEEKNUM(Таблица2_2[[#This Row],[Дата]])</f>
        <v>20</v>
      </c>
      <c r="H222">
        <f>Таблица2_2[[#This Row],[Товарооборот, руб]]/Таблица2_2[[#This Row],[Количество складов]]</f>
        <v>205174.05813953487</v>
      </c>
      <c r="I222" t="str">
        <f>--Таблица2_2[[#This Row],[Дата]]&amp;Таблица2_2[[#This Row],[Территория]]</f>
        <v>43964Санкт-Петербург Юг</v>
      </c>
    </row>
    <row r="223" spans="1:9" x14ac:dyDescent="0.25">
      <c r="A223" s="12">
        <v>43964</v>
      </c>
      <c r="B223" s="13" t="s">
        <v>12</v>
      </c>
      <c r="C223">
        <v>10</v>
      </c>
      <c r="D223">
        <v>612</v>
      </c>
      <c r="E223">
        <v>530</v>
      </c>
      <c r="F223" s="14">
        <f>INDEX(Лист1!$D:$D,MATCH(I223,Лист1!$J:$J,0))</f>
        <v>865714.5</v>
      </c>
      <c r="G223">
        <f>_xlfn.ISOWEEKNUM(Таблица2_2[[#This Row],[Дата]])</f>
        <v>20</v>
      </c>
      <c r="H223">
        <f>Таблица2_2[[#This Row],[Товарооборот, руб]]/Таблица2_2[[#This Row],[Количество складов]]</f>
        <v>86571.45</v>
      </c>
      <c r="I223" t="str">
        <f>--Таблица2_2[[#This Row],[Дата]]&amp;Таблица2_2[[#This Row],[Территория]]</f>
        <v>43964Тольятти</v>
      </c>
    </row>
    <row r="224" spans="1:9" x14ac:dyDescent="0.25">
      <c r="A224" s="12">
        <v>43965</v>
      </c>
      <c r="B224" s="13" t="s">
        <v>16</v>
      </c>
      <c r="C224">
        <v>36</v>
      </c>
      <c r="D224">
        <v>4285</v>
      </c>
      <c r="E224">
        <v>3950</v>
      </c>
      <c r="F224" s="14">
        <f>INDEX(Лист1!$D:$D,MATCH(I224,Лист1!$J:$J,0))</f>
        <v>5366602.5</v>
      </c>
      <c r="G224">
        <f>_xlfn.ISOWEEKNUM(Таблица2_2[[#This Row],[Дата]])</f>
        <v>20</v>
      </c>
      <c r="H224">
        <f>Таблица2_2[[#This Row],[Товарооборот, руб]]/Таблица2_2[[#This Row],[Количество складов]]</f>
        <v>149072.29166666666</v>
      </c>
      <c r="I224" t="str">
        <f>--Таблица2_2[[#This Row],[Дата]]&amp;Таблица2_2[[#This Row],[Территория]]</f>
        <v>43965Волгоград</v>
      </c>
    </row>
    <row r="225" spans="1:9" x14ac:dyDescent="0.25">
      <c r="A225" s="12">
        <v>43965</v>
      </c>
      <c r="B225" s="13" t="s">
        <v>11</v>
      </c>
      <c r="C225">
        <v>31</v>
      </c>
      <c r="D225">
        <v>4695</v>
      </c>
      <c r="E225">
        <v>4372</v>
      </c>
      <c r="F225" s="14">
        <f>INDEX(Лист1!$D:$D,MATCH(I225,Лист1!$J:$J,0))</f>
        <v>6053649</v>
      </c>
      <c r="G225">
        <f>_xlfn.ISOWEEKNUM(Таблица2_2[[#This Row],[Дата]])</f>
        <v>20</v>
      </c>
      <c r="H225">
        <f>Таблица2_2[[#This Row],[Товарооборот, руб]]/Таблица2_2[[#This Row],[Количество складов]]</f>
        <v>195279</v>
      </c>
      <c r="I225" t="str">
        <f>--Таблица2_2[[#This Row],[Дата]]&amp;Таблица2_2[[#This Row],[Территория]]</f>
        <v>43965Екатеринбург</v>
      </c>
    </row>
    <row r="226" spans="1:9" x14ac:dyDescent="0.25">
      <c r="A226" s="12">
        <v>43965</v>
      </c>
      <c r="B226" s="13" t="s">
        <v>17</v>
      </c>
      <c r="C226">
        <v>21</v>
      </c>
      <c r="D226">
        <v>1993</v>
      </c>
      <c r="E226">
        <v>1796</v>
      </c>
      <c r="F226" s="14">
        <f>INDEX(Лист1!$D:$D,MATCH(I226,Лист1!$J:$J,0))</f>
        <v>3166479</v>
      </c>
      <c r="G226">
        <f>_xlfn.ISOWEEKNUM(Таблица2_2[[#This Row],[Дата]])</f>
        <v>20</v>
      </c>
      <c r="H226">
        <f>Таблица2_2[[#This Row],[Товарооборот, руб]]/Таблица2_2[[#This Row],[Количество складов]]</f>
        <v>150784.71428571429</v>
      </c>
      <c r="I226" t="str">
        <f>--Таблица2_2[[#This Row],[Дата]]&amp;Таблица2_2[[#This Row],[Территория]]</f>
        <v>43965Казань</v>
      </c>
    </row>
    <row r="227" spans="1:9" x14ac:dyDescent="0.25">
      <c r="A227" s="12">
        <v>43965</v>
      </c>
      <c r="B227" s="13" t="s">
        <v>10</v>
      </c>
      <c r="C227">
        <v>21</v>
      </c>
      <c r="D227">
        <v>1706</v>
      </c>
      <c r="E227">
        <v>1548</v>
      </c>
      <c r="F227" s="14">
        <f>INDEX(Лист1!$D:$D,MATCH(I227,Лист1!$J:$J,0))</f>
        <v>2703132</v>
      </c>
      <c r="G227">
        <f>_xlfn.ISOWEEKNUM(Таблица2_2[[#This Row],[Дата]])</f>
        <v>20</v>
      </c>
      <c r="H227">
        <f>Таблица2_2[[#This Row],[Товарооборот, руб]]/Таблица2_2[[#This Row],[Количество складов]]</f>
        <v>128720.57142857143</v>
      </c>
      <c r="I227" t="str">
        <f>--Таблица2_2[[#This Row],[Дата]]&amp;Таблица2_2[[#This Row],[Территория]]</f>
        <v>43965Кемерово</v>
      </c>
    </row>
    <row r="228" spans="1:9" x14ac:dyDescent="0.25">
      <c r="A228" s="12">
        <v>43965</v>
      </c>
      <c r="B228" s="13" t="s">
        <v>20</v>
      </c>
      <c r="C228">
        <v>19</v>
      </c>
      <c r="D228">
        <v>1635</v>
      </c>
      <c r="E228">
        <v>1487</v>
      </c>
      <c r="F228" s="14">
        <f>INDEX(Лист1!$D:$D,MATCH(I228,Лист1!$J:$J,0))</f>
        <v>2225341.5</v>
      </c>
      <c r="G228">
        <f>_xlfn.ISOWEEKNUM(Таблица2_2[[#This Row],[Дата]])</f>
        <v>20</v>
      </c>
      <c r="H228">
        <f>Таблица2_2[[#This Row],[Товарооборот, руб]]/Таблица2_2[[#This Row],[Количество складов]]</f>
        <v>117123.23684210527</v>
      </c>
      <c r="I228" t="str">
        <f>--Таблица2_2[[#This Row],[Дата]]&amp;Таблица2_2[[#This Row],[Территория]]</f>
        <v>43965Краснодар</v>
      </c>
    </row>
    <row r="229" spans="1:9" x14ac:dyDescent="0.25">
      <c r="A229" s="12">
        <v>43965</v>
      </c>
      <c r="B229" s="13" t="s">
        <v>22</v>
      </c>
      <c r="C229">
        <v>54</v>
      </c>
      <c r="D229">
        <v>11194</v>
      </c>
      <c r="E229">
        <v>10554</v>
      </c>
      <c r="F229" s="14">
        <f>INDEX(Лист1!$D:$D,MATCH(I229,Лист1!$J:$J,0))</f>
        <v>18640998</v>
      </c>
      <c r="G229">
        <f>_xlfn.ISOWEEKNUM(Таблица2_2[[#This Row],[Дата]])</f>
        <v>20</v>
      </c>
      <c r="H229">
        <f>Таблица2_2[[#This Row],[Товарооборот, руб]]/Таблица2_2[[#This Row],[Количество складов]]</f>
        <v>345203.66666666669</v>
      </c>
      <c r="I229" t="str">
        <f>--Таблица2_2[[#This Row],[Дата]]&amp;Таблица2_2[[#This Row],[Территория]]</f>
        <v>43965Москва Восток</v>
      </c>
    </row>
    <row r="230" spans="1:9" x14ac:dyDescent="0.25">
      <c r="A230" s="12">
        <v>43965</v>
      </c>
      <c r="B230" s="13" t="s">
        <v>21</v>
      </c>
      <c r="C230">
        <v>60</v>
      </c>
      <c r="D230">
        <v>11935</v>
      </c>
      <c r="E230">
        <v>11178</v>
      </c>
      <c r="F230" s="14">
        <f>INDEX(Лист1!$D:$D,MATCH(I230,Лист1!$J:$J,0))</f>
        <v>19942435.5</v>
      </c>
      <c r="G230">
        <f>_xlfn.ISOWEEKNUM(Таблица2_2[[#This Row],[Дата]])</f>
        <v>20</v>
      </c>
      <c r="H230">
        <f>Таблица2_2[[#This Row],[Товарооборот, руб]]/Таблица2_2[[#This Row],[Количество складов]]</f>
        <v>332373.92499999999</v>
      </c>
      <c r="I230" t="str">
        <f>--Таблица2_2[[#This Row],[Дата]]&amp;Таблица2_2[[#This Row],[Территория]]</f>
        <v>43965Москва Запад</v>
      </c>
    </row>
    <row r="231" spans="1:9" x14ac:dyDescent="0.25">
      <c r="A231" s="12">
        <v>43965</v>
      </c>
      <c r="B231" s="13" t="s">
        <v>13</v>
      </c>
      <c r="C231">
        <v>19</v>
      </c>
      <c r="D231">
        <v>1675</v>
      </c>
      <c r="E231">
        <v>1475</v>
      </c>
      <c r="F231" s="14">
        <f>INDEX(Лист1!$D:$D,MATCH(I231,Лист1!$J:$J,0))</f>
        <v>2441520</v>
      </c>
      <c r="G231">
        <f>_xlfn.ISOWEEKNUM(Таблица2_2[[#This Row],[Дата]])</f>
        <v>20</v>
      </c>
      <c r="H231">
        <f>Таблица2_2[[#This Row],[Товарооборот, руб]]/Таблица2_2[[#This Row],[Количество складов]]</f>
        <v>128501.05263157895</v>
      </c>
      <c r="I231" t="str">
        <f>--Таблица2_2[[#This Row],[Дата]]&amp;Таблица2_2[[#This Row],[Территория]]</f>
        <v>43965Нижний Новгород</v>
      </c>
    </row>
    <row r="232" spans="1:9" x14ac:dyDescent="0.25">
      <c r="A232" s="12">
        <v>43965</v>
      </c>
      <c r="B232" s="13" t="s">
        <v>23</v>
      </c>
      <c r="C232">
        <v>16</v>
      </c>
      <c r="D232">
        <v>834</v>
      </c>
      <c r="E232">
        <v>735</v>
      </c>
      <c r="F232" s="14">
        <f>INDEX(Лист1!$D:$D,MATCH(I232,Лист1!$J:$J,0))</f>
        <v>1131676.5</v>
      </c>
      <c r="G232">
        <f>_xlfn.ISOWEEKNUM(Таблица2_2[[#This Row],[Дата]])</f>
        <v>20</v>
      </c>
      <c r="H232">
        <f>Таблица2_2[[#This Row],[Товарооборот, руб]]/Таблица2_2[[#This Row],[Количество складов]]</f>
        <v>70729.78125</v>
      </c>
      <c r="I232" t="str">
        <f>--Таблица2_2[[#This Row],[Дата]]&amp;Таблица2_2[[#This Row],[Территория]]</f>
        <v>43965Новосибирск</v>
      </c>
    </row>
    <row r="233" spans="1:9" x14ac:dyDescent="0.25">
      <c r="A233" s="12">
        <v>43965</v>
      </c>
      <c r="B233" s="13" t="s">
        <v>18</v>
      </c>
      <c r="C233">
        <v>15</v>
      </c>
      <c r="D233">
        <v>890</v>
      </c>
      <c r="E233">
        <v>777</v>
      </c>
      <c r="F233" s="14">
        <f>INDEX(Лист1!$D:$D,MATCH(I233,Лист1!$J:$J,0))</f>
        <v>1223491.5</v>
      </c>
      <c r="G233">
        <f>_xlfn.ISOWEEKNUM(Таблица2_2[[#This Row],[Дата]])</f>
        <v>20</v>
      </c>
      <c r="H233">
        <f>Таблица2_2[[#This Row],[Товарооборот, руб]]/Таблица2_2[[#This Row],[Количество складов]]</f>
        <v>81566.100000000006</v>
      </c>
      <c r="I233" t="str">
        <f>--Таблица2_2[[#This Row],[Дата]]&amp;Таблица2_2[[#This Row],[Территория]]</f>
        <v>43965Пермь</v>
      </c>
    </row>
    <row r="234" spans="1:9" x14ac:dyDescent="0.25">
      <c r="A234" s="12">
        <v>43965</v>
      </c>
      <c r="B234" s="13" t="s">
        <v>19</v>
      </c>
      <c r="C234">
        <v>15</v>
      </c>
      <c r="D234">
        <v>638</v>
      </c>
      <c r="E234">
        <v>548</v>
      </c>
      <c r="F234" s="14">
        <f>INDEX(Лист1!$D:$D,MATCH(I234,Лист1!$J:$J,0))</f>
        <v>963502.5</v>
      </c>
      <c r="G234">
        <f>_xlfn.ISOWEEKNUM(Таблица2_2[[#This Row],[Дата]])</f>
        <v>20</v>
      </c>
      <c r="H234">
        <f>Таблица2_2[[#This Row],[Товарооборот, руб]]/Таблица2_2[[#This Row],[Количество складов]]</f>
        <v>64233.5</v>
      </c>
      <c r="I234" t="str">
        <f>--Таблица2_2[[#This Row],[Дата]]&amp;Таблица2_2[[#This Row],[Территория]]</f>
        <v>43965Ростов-на-Дону</v>
      </c>
    </row>
    <row r="235" spans="1:9" x14ac:dyDescent="0.25">
      <c r="A235" s="12">
        <v>43965</v>
      </c>
      <c r="B235" s="13" t="s">
        <v>15</v>
      </c>
      <c r="C235">
        <v>125</v>
      </c>
      <c r="D235">
        <v>20247</v>
      </c>
      <c r="E235">
        <v>18812</v>
      </c>
      <c r="F235" s="14">
        <f>INDEX(Лист1!$D:$D,MATCH(I235,Лист1!$J:$J,0))</f>
        <v>37963150.5</v>
      </c>
      <c r="G235">
        <f>_xlfn.ISOWEEKNUM(Таблица2_2[[#This Row],[Дата]])</f>
        <v>20</v>
      </c>
      <c r="H235">
        <f>Таблица2_2[[#This Row],[Товарооборот, руб]]/Таблица2_2[[#This Row],[Количество складов]]</f>
        <v>303705.20400000003</v>
      </c>
      <c r="I235" t="str">
        <f>--Таблица2_2[[#This Row],[Дата]]&amp;Таблица2_2[[#This Row],[Территория]]</f>
        <v>43965Санкт-Петербург Север</v>
      </c>
    </row>
    <row r="236" spans="1:9" x14ac:dyDescent="0.25">
      <c r="A236" s="12">
        <v>43965</v>
      </c>
      <c r="B236" s="13" t="s">
        <v>14</v>
      </c>
      <c r="C236">
        <v>129</v>
      </c>
      <c r="D236">
        <v>15804</v>
      </c>
      <c r="E236">
        <v>14738</v>
      </c>
      <c r="F236" s="14">
        <f>INDEX(Лист1!$D:$D,MATCH(I236,Лист1!$J:$J,0))</f>
        <v>28181292</v>
      </c>
      <c r="G236">
        <f>_xlfn.ISOWEEKNUM(Таблица2_2[[#This Row],[Дата]])</f>
        <v>20</v>
      </c>
      <c r="H236">
        <f>Таблица2_2[[#This Row],[Товарооборот, руб]]/Таблица2_2[[#This Row],[Количество складов]]</f>
        <v>218459.62790697673</v>
      </c>
      <c r="I236" t="str">
        <f>--Таблица2_2[[#This Row],[Дата]]&amp;Таблица2_2[[#This Row],[Территория]]</f>
        <v>43965Санкт-Петербург Юг</v>
      </c>
    </row>
    <row r="237" spans="1:9" x14ac:dyDescent="0.25">
      <c r="A237" s="12">
        <v>43965</v>
      </c>
      <c r="B237" s="13" t="s">
        <v>12</v>
      </c>
      <c r="C237">
        <v>10</v>
      </c>
      <c r="D237">
        <v>627</v>
      </c>
      <c r="E237">
        <v>545</v>
      </c>
      <c r="F237" s="14">
        <f>INDEX(Лист1!$D:$D,MATCH(I237,Лист1!$J:$J,0))</f>
        <v>981564</v>
      </c>
      <c r="G237">
        <f>_xlfn.ISOWEEKNUM(Таблица2_2[[#This Row],[Дата]])</f>
        <v>20</v>
      </c>
      <c r="H237">
        <f>Таблица2_2[[#This Row],[Товарооборот, руб]]/Таблица2_2[[#This Row],[Количество складов]]</f>
        <v>98156.4</v>
      </c>
      <c r="I237" t="str">
        <f>--Таблица2_2[[#This Row],[Дата]]&amp;Таблица2_2[[#This Row],[Территория]]</f>
        <v>43965Тольятти</v>
      </c>
    </row>
    <row r="238" spans="1:9" x14ac:dyDescent="0.25">
      <c r="A238" s="12">
        <v>43966</v>
      </c>
      <c r="B238" s="13" t="s">
        <v>16</v>
      </c>
      <c r="C238">
        <v>36</v>
      </c>
      <c r="D238">
        <v>4862</v>
      </c>
      <c r="E238">
        <v>4476</v>
      </c>
      <c r="F238" s="14">
        <f>INDEX(Лист1!$D:$D,MATCH(I238,Лист1!$J:$J,0))</f>
        <v>6293952</v>
      </c>
      <c r="G238">
        <f>_xlfn.ISOWEEKNUM(Таблица2_2[[#This Row],[Дата]])</f>
        <v>20</v>
      </c>
      <c r="H238">
        <f>Таблица2_2[[#This Row],[Товарооборот, руб]]/Таблица2_2[[#This Row],[Количество складов]]</f>
        <v>174832</v>
      </c>
      <c r="I238" t="str">
        <f>--Таблица2_2[[#This Row],[Дата]]&amp;Таблица2_2[[#This Row],[Территория]]</f>
        <v>43966Волгоград</v>
      </c>
    </row>
    <row r="239" spans="1:9" x14ac:dyDescent="0.25">
      <c r="A239" s="12">
        <v>43966</v>
      </c>
      <c r="B239" s="13" t="s">
        <v>11</v>
      </c>
      <c r="C239">
        <v>31</v>
      </c>
      <c r="D239">
        <v>5184</v>
      </c>
      <c r="E239">
        <v>4778</v>
      </c>
      <c r="F239" s="14">
        <f>INDEX(Лист1!$D:$D,MATCH(I239,Лист1!$J:$J,0))</f>
        <v>6876454.5</v>
      </c>
      <c r="G239">
        <f>_xlfn.ISOWEEKNUM(Таблица2_2[[#This Row],[Дата]])</f>
        <v>20</v>
      </c>
      <c r="H239">
        <f>Таблица2_2[[#This Row],[Товарооборот, руб]]/Таблица2_2[[#This Row],[Количество складов]]</f>
        <v>221821.11290322582</v>
      </c>
      <c r="I239" t="str">
        <f>--Таблица2_2[[#This Row],[Дата]]&amp;Таблица2_2[[#This Row],[Территория]]</f>
        <v>43966Екатеринбург</v>
      </c>
    </row>
    <row r="240" spans="1:9" x14ac:dyDescent="0.25">
      <c r="A240" s="12">
        <v>43966</v>
      </c>
      <c r="B240" s="13" t="s">
        <v>17</v>
      </c>
      <c r="C240">
        <v>21</v>
      </c>
      <c r="D240">
        <v>2255</v>
      </c>
      <c r="E240">
        <v>2045</v>
      </c>
      <c r="F240" s="14">
        <f>INDEX(Лист1!$D:$D,MATCH(I240,Лист1!$J:$J,0))</f>
        <v>3772258.5</v>
      </c>
      <c r="G240">
        <f>_xlfn.ISOWEEKNUM(Таблица2_2[[#This Row],[Дата]])</f>
        <v>20</v>
      </c>
      <c r="H240">
        <f>Таблица2_2[[#This Row],[Товарооборот, руб]]/Таблица2_2[[#This Row],[Количество складов]]</f>
        <v>179631.35714285713</v>
      </c>
      <c r="I240" t="str">
        <f>--Таблица2_2[[#This Row],[Дата]]&amp;Таблица2_2[[#This Row],[Территория]]</f>
        <v>43966Казань</v>
      </c>
    </row>
    <row r="241" spans="1:9" x14ac:dyDescent="0.25">
      <c r="A241" s="12">
        <v>43966</v>
      </c>
      <c r="B241" s="13" t="s">
        <v>10</v>
      </c>
      <c r="C241">
        <v>21</v>
      </c>
      <c r="D241">
        <v>1926</v>
      </c>
      <c r="E241">
        <v>1742</v>
      </c>
      <c r="F241" s="14">
        <f>INDEX(Лист1!$D:$D,MATCH(I241,Лист1!$J:$J,0))</f>
        <v>3038293.5</v>
      </c>
      <c r="G241">
        <f>_xlfn.ISOWEEKNUM(Таблица2_2[[#This Row],[Дата]])</f>
        <v>20</v>
      </c>
      <c r="H241">
        <f>Таблица2_2[[#This Row],[Товарооборот, руб]]/Таблица2_2[[#This Row],[Количество складов]]</f>
        <v>144680.64285714287</v>
      </c>
      <c r="I241" t="str">
        <f>--Таблица2_2[[#This Row],[Дата]]&amp;Таблица2_2[[#This Row],[Территория]]</f>
        <v>43966Кемерово</v>
      </c>
    </row>
    <row r="242" spans="1:9" x14ac:dyDescent="0.25">
      <c r="A242" s="12">
        <v>43966</v>
      </c>
      <c r="B242" s="13" t="s">
        <v>20</v>
      </c>
      <c r="C242">
        <v>19</v>
      </c>
      <c r="D242">
        <v>1780</v>
      </c>
      <c r="E242">
        <v>1615</v>
      </c>
      <c r="F242" s="14">
        <f>INDEX(Лист1!$D:$D,MATCH(I242,Лист1!$J:$J,0))</f>
        <v>2477487</v>
      </c>
      <c r="G242">
        <f>_xlfn.ISOWEEKNUM(Таблица2_2[[#This Row],[Дата]])</f>
        <v>20</v>
      </c>
      <c r="H242">
        <f>Таблица2_2[[#This Row],[Товарооборот, руб]]/Таблица2_2[[#This Row],[Количество складов]]</f>
        <v>130394.05263157895</v>
      </c>
      <c r="I242" t="str">
        <f>--Таблица2_2[[#This Row],[Дата]]&amp;Таблица2_2[[#This Row],[Территория]]</f>
        <v>43966Краснодар</v>
      </c>
    </row>
    <row r="243" spans="1:9" x14ac:dyDescent="0.25">
      <c r="A243" s="12">
        <v>43966</v>
      </c>
      <c r="B243" s="13" t="s">
        <v>22</v>
      </c>
      <c r="C243">
        <v>54</v>
      </c>
      <c r="D243">
        <v>12791</v>
      </c>
      <c r="E243">
        <v>11950</v>
      </c>
      <c r="F243" s="14">
        <f>INDEX(Лист1!$D:$D,MATCH(I243,Лист1!$J:$J,0))</f>
        <v>21895294.5</v>
      </c>
      <c r="G243">
        <f>_xlfn.ISOWEEKNUM(Таблица2_2[[#This Row],[Дата]])</f>
        <v>20</v>
      </c>
      <c r="H243">
        <f>Таблица2_2[[#This Row],[Товарооборот, руб]]/Таблица2_2[[#This Row],[Количество складов]]</f>
        <v>405468.41666666669</v>
      </c>
      <c r="I243" t="str">
        <f>--Таблица2_2[[#This Row],[Дата]]&amp;Таблица2_2[[#This Row],[Территория]]</f>
        <v>43966Москва Восток</v>
      </c>
    </row>
    <row r="244" spans="1:9" x14ac:dyDescent="0.25">
      <c r="A244" s="12">
        <v>43966</v>
      </c>
      <c r="B244" s="13" t="s">
        <v>21</v>
      </c>
      <c r="C244">
        <v>60</v>
      </c>
      <c r="D244">
        <v>13544</v>
      </c>
      <c r="E244">
        <v>12643</v>
      </c>
      <c r="F244" s="14">
        <f>INDEX(Лист1!$D:$D,MATCH(I244,Лист1!$J:$J,0))</f>
        <v>23085222</v>
      </c>
      <c r="G244">
        <f>_xlfn.ISOWEEKNUM(Таблица2_2[[#This Row],[Дата]])</f>
        <v>20</v>
      </c>
      <c r="H244">
        <f>Таблица2_2[[#This Row],[Товарооборот, руб]]/Таблица2_2[[#This Row],[Количество складов]]</f>
        <v>384753.7</v>
      </c>
      <c r="I244" t="str">
        <f>--Таблица2_2[[#This Row],[Дата]]&amp;Таблица2_2[[#This Row],[Территория]]</f>
        <v>43966Москва Запад</v>
      </c>
    </row>
    <row r="245" spans="1:9" x14ac:dyDescent="0.25">
      <c r="A245" s="12">
        <v>43966</v>
      </c>
      <c r="B245" s="13" t="s">
        <v>13</v>
      </c>
      <c r="C245">
        <v>19</v>
      </c>
      <c r="D245">
        <v>1940</v>
      </c>
      <c r="E245">
        <v>1715</v>
      </c>
      <c r="F245" s="14">
        <f>INDEX(Лист1!$D:$D,MATCH(I245,Лист1!$J:$J,0))</f>
        <v>2949078</v>
      </c>
      <c r="G245">
        <f>_xlfn.ISOWEEKNUM(Таблица2_2[[#This Row],[Дата]])</f>
        <v>20</v>
      </c>
      <c r="H245">
        <f>Таблица2_2[[#This Row],[Товарооборот, руб]]/Таблица2_2[[#This Row],[Количество складов]]</f>
        <v>155214.63157894736</v>
      </c>
      <c r="I245" t="str">
        <f>--Таблица2_2[[#This Row],[Дата]]&amp;Таблица2_2[[#This Row],[Территория]]</f>
        <v>43966Нижний Новгород</v>
      </c>
    </row>
    <row r="246" spans="1:9" x14ac:dyDescent="0.25">
      <c r="A246" s="12">
        <v>43966</v>
      </c>
      <c r="B246" s="13" t="s">
        <v>23</v>
      </c>
      <c r="C246">
        <v>16</v>
      </c>
      <c r="D246">
        <v>817</v>
      </c>
      <c r="E246">
        <v>718</v>
      </c>
      <c r="F246" s="14">
        <f>INDEX(Лист1!$D:$D,MATCH(I246,Лист1!$J:$J,0))</f>
        <v>1091040</v>
      </c>
      <c r="G246">
        <f>_xlfn.ISOWEEKNUM(Таблица2_2[[#This Row],[Дата]])</f>
        <v>20</v>
      </c>
      <c r="H246">
        <f>Таблица2_2[[#This Row],[Товарооборот, руб]]/Таблица2_2[[#This Row],[Количество складов]]</f>
        <v>68190</v>
      </c>
      <c r="I246" t="str">
        <f>--Таблица2_2[[#This Row],[Дата]]&amp;Таблица2_2[[#This Row],[Территория]]</f>
        <v>43966Новосибирск</v>
      </c>
    </row>
    <row r="247" spans="1:9" x14ac:dyDescent="0.25">
      <c r="A247" s="12">
        <v>43966</v>
      </c>
      <c r="B247" s="13" t="s">
        <v>18</v>
      </c>
      <c r="C247">
        <v>15</v>
      </c>
      <c r="D247">
        <v>980</v>
      </c>
      <c r="E247">
        <v>867</v>
      </c>
      <c r="F247" s="14">
        <f>INDEX(Лист1!$D:$D,MATCH(I247,Лист1!$J:$J,0))</f>
        <v>1370482.5</v>
      </c>
      <c r="G247">
        <f>_xlfn.ISOWEEKNUM(Таблица2_2[[#This Row],[Дата]])</f>
        <v>20</v>
      </c>
      <c r="H247">
        <f>Таблица2_2[[#This Row],[Товарооборот, руб]]/Таблица2_2[[#This Row],[Количество складов]]</f>
        <v>91365.5</v>
      </c>
      <c r="I247" t="str">
        <f>--Таблица2_2[[#This Row],[Дата]]&amp;Таблица2_2[[#This Row],[Территория]]</f>
        <v>43966Пермь</v>
      </c>
    </row>
    <row r="248" spans="1:9" x14ac:dyDescent="0.25">
      <c r="A248" s="12">
        <v>43966</v>
      </c>
      <c r="B248" s="13" t="s">
        <v>19</v>
      </c>
      <c r="C248">
        <v>15</v>
      </c>
      <c r="D248">
        <v>688</v>
      </c>
      <c r="E248">
        <v>598</v>
      </c>
      <c r="F248" s="14">
        <f>INDEX(Лист1!$D:$D,MATCH(I248,Лист1!$J:$J,0))</f>
        <v>1122730.5</v>
      </c>
      <c r="G248">
        <f>_xlfn.ISOWEEKNUM(Таблица2_2[[#This Row],[Дата]])</f>
        <v>20</v>
      </c>
      <c r="H248">
        <f>Таблица2_2[[#This Row],[Товарооборот, руб]]/Таблица2_2[[#This Row],[Количество складов]]</f>
        <v>74848.7</v>
      </c>
      <c r="I248" t="str">
        <f>--Таблица2_2[[#This Row],[Дата]]&amp;Таблица2_2[[#This Row],[Территория]]</f>
        <v>43966Ростов-на-Дону</v>
      </c>
    </row>
    <row r="249" spans="1:9" x14ac:dyDescent="0.25">
      <c r="A249" s="12">
        <v>43966</v>
      </c>
      <c r="B249" s="13" t="s">
        <v>15</v>
      </c>
      <c r="C249">
        <v>125</v>
      </c>
      <c r="D249">
        <v>21862</v>
      </c>
      <c r="E249">
        <v>20235</v>
      </c>
      <c r="F249" s="14">
        <f>INDEX(Лист1!$D:$D,MATCH(I249,Лист1!$J:$J,0))</f>
        <v>42271377</v>
      </c>
      <c r="G249">
        <f>_xlfn.ISOWEEKNUM(Таблица2_2[[#This Row],[Дата]])</f>
        <v>20</v>
      </c>
      <c r="H249">
        <f>Таблица2_2[[#This Row],[Товарооборот, руб]]/Таблица2_2[[#This Row],[Количество складов]]</f>
        <v>338171.016</v>
      </c>
      <c r="I249" t="str">
        <f>--Таблица2_2[[#This Row],[Дата]]&amp;Таблица2_2[[#This Row],[Территория]]</f>
        <v>43966Санкт-Петербург Север</v>
      </c>
    </row>
    <row r="250" spans="1:9" x14ac:dyDescent="0.25">
      <c r="A250" s="12">
        <v>43966</v>
      </c>
      <c r="B250" s="13" t="s">
        <v>14</v>
      </c>
      <c r="C250">
        <v>129</v>
      </c>
      <c r="D250">
        <v>17808</v>
      </c>
      <c r="E250">
        <v>16486</v>
      </c>
      <c r="F250" s="14">
        <f>INDEX(Лист1!$D:$D,MATCH(I250,Лист1!$J:$J,0))</f>
        <v>32354331</v>
      </c>
      <c r="G250">
        <f>_xlfn.ISOWEEKNUM(Таблица2_2[[#This Row],[Дата]])</f>
        <v>20</v>
      </c>
      <c r="H250">
        <f>Таблица2_2[[#This Row],[Товарооборот, руб]]/Таблица2_2[[#This Row],[Количество складов]]</f>
        <v>250808.76744186046</v>
      </c>
      <c r="I250" t="str">
        <f>--Таблица2_2[[#This Row],[Дата]]&amp;Таблица2_2[[#This Row],[Территория]]</f>
        <v>43966Санкт-Петербург Юг</v>
      </c>
    </row>
    <row r="251" spans="1:9" x14ac:dyDescent="0.25">
      <c r="A251" s="12">
        <v>43966</v>
      </c>
      <c r="B251" s="13" t="s">
        <v>12</v>
      </c>
      <c r="C251">
        <v>10</v>
      </c>
      <c r="D251">
        <v>743</v>
      </c>
      <c r="E251">
        <v>652</v>
      </c>
      <c r="F251" s="14">
        <f>INDEX(Лист1!$D:$D,MATCH(I251,Лист1!$J:$J,0))</f>
        <v>1150579.5</v>
      </c>
      <c r="G251">
        <f>_xlfn.ISOWEEKNUM(Таблица2_2[[#This Row],[Дата]])</f>
        <v>20</v>
      </c>
      <c r="H251">
        <f>Таблица2_2[[#This Row],[Товарооборот, руб]]/Таблица2_2[[#This Row],[Количество складов]]</f>
        <v>115057.95</v>
      </c>
      <c r="I251" t="str">
        <f>--Таблица2_2[[#This Row],[Дата]]&amp;Таблица2_2[[#This Row],[Территория]]</f>
        <v>43966Тольятти</v>
      </c>
    </row>
    <row r="252" spans="1:9" x14ac:dyDescent="0.25">
      <c r="A252" s="12">
        <v>43967</v>
      </c>
      <c r="B252" s="13" t="s">
        <v>16</v>
      </c>
      <c r="C252">
        <v>36</v>
      </c>
      <c r="D252">
        <v>5286</v>
      </c>
      <c r="E252">
        <v>4867</v>
      </c>
      <c r="F252" s="14">
        <f>INDEX(Лист1!$D:$D,MATCH(I252,Лист1!$J:$J,0))</f>
        <v>6652179</v>
      </c>
      <c r="G252">
        <f>_xlfn.ISOWEEKNUM(Таблица2_2[[#This Row],[Дата]])</f>
        <v>20</v>
      </c>
      <c r="H252">
        <f>Таблица2_2[[#This Row],[Товарооборот, руб]]/Таблица2_2[[#This Row],[Количество складов]]</f>
        <v>184782.75</v>
      </c>
      <c r="I252" t="str">
        <f>--Таблица2_2[[#This Row],[Дата]]&amp;Таблица2_2[[#This Row],[Территория]]</f>
        <v>43967Волгоград</v>
      </c>
    </row>
    <row r="253" spans="1:9" x14ac:dyDescent="0.25">
      <c r="A253" s="12">
        <v>43967</v>
      </c>
      <c r="B253" s="13" t="s">
        <v>11</v>
      </c>
      <c r="C253">
        <v>31</v>
      </c>
      <c r="D253">
        <v>5593</v>
      </c>
      <c r="E253">
        <v>5177</v>
      </c>
      <c r="F253" s="14">
        <f>INDEX(Лист1!$D:$D,MATCH(I253,Лист1!$J:$J,0))</f>
        <v>7583758.5</v>
      </c>
      <c r="G253">
        <f>_xlfn.ISOWEEKNUM(Таблица2_2[[#This Row],[Дата]])</f>
        <v>20</v>
      </c>
      <c r="H253">
        <f>Таблица2_2[[#This Row],[Товарооборот, руб]]/Таблица2_2[[#This Row],[Количество складов]]</f>
        <v>244637.37096774194</v>
      </c>
      <c r="I253" t="str">
        <f>--Таблица2_2[[#This Row],[Дата]]&amp;Таблица2_2[[#This Row],[Территория]]</f>
        <v>43967Екатеринбург</v>
      </c>
    </row>
    <row r="254" spans="1:9" x14ac:dyDescent="0.25">
      <c r="A254" s="12">
        <v>43967</v>
      </c>
      <c r="B254" s="13" t="s">
        <v>17</v>
      </c>
      <c r="C254">
        <v>21</v>
      </c>
      <c r="D254">
        <v>2427</v>
      </c>
      <c r="E254">
        <v>2213</v>
      </c>
      <c r="F254" s="14">
        <f>INDEX(Лист1!$D:$D,MATCH(I254,Лист1!$J:$J,0))</f>
        <v>4025148</v>
      </c>
      <c r="G254">
        <f>_xlfn.ISOWEEKNUM(Таблица2_2[[#This Row],[Дата]])</f>
        <v>20</v>
      </c>
      <c r="H254">
        <f>Таблица2_2[[#This Row],[Товарооборот, руб]]/Таблица2_2[[#This Row],[Количество складов]]</f>
        <v>191673.71428571429</v>
      </c>
      <c r="I254" t="str">
        <f>--Таблица2_2[[#This Row],[Дата]]&amp;Таблица2_2[[#This Row],[Территория]]</f>
        <v>43967Казань</v>
      </c>
    </row>
    <row r="255" spans="1:9" x14ac:dyDescent="0.25">
      <c r="A255" s="12">
        <v>43967</v>
      </c>
      <c r="B255" s="13" t="s">
        <v>10</v>
      </c>
      <c r="C255">
        <v>21</v>
      </c>
      <c r="D255">
        <v>2145</v>
      </c>
      <c r="E255">
        <v>1947</v>
      </c>
      <c r="F255" s="14">
        <f>INDEX(Лист1!$D:$D,MATCH(I255,Лист1!$J:$J,0))</f>
        <v>3395892</v>
      </c>
      <c r="G255">
        <f>_xlfn.ISOWEEKNUM(Таблица2_2[[#This Row],[Дата]])</f>
        <v>20</v>
      </c>
      <c r="H255">
        <f>Таблица2_2[[#This Row],[Товарооборот, руб]]/Таблица2_2[[#This Row],[Количество складов]]</f>
        <v>161709.14285714287</v>
      </c>
      <c r="I255" t="str">
        <f>--Таблица2_2[[#This Row],[Дата]]&amp;Таблица2_2[[#This Row],[Территория]]</f>
        <v>43967Кемерово</v>
      </c>
    </row>
    <row r="256" spans="1:9" x14ac:dyDescent="0.25">
      <c r="A256" s="12">
        <v>43967</v>
      </c>
      <c r="B256" s="13" t="s">
        <v>20</v>
      </c>
      <c r="C256">
        <v>19</v>
      </c>
      <c r="D256">
        <v>2039</v>
      </c>
      <c r="E256">
        <v>1868</v>
      </c>
      <c r="F256" s="14">
        <f>INDEX(Лист1!$D:$D,MATCH(I256,Лист1!$J:$J,0))</f>
        <v>2922883.5</v>
      </c>
      <c r="G256">
        <f>_xlfn.ISOWEEKNUM(Таблица2_2[[#This Row],[Дата]])</f>
        <v>20</v>
      </c>
      <c r="H256">
        <f>Таблица2_2[[#This Row],[Товарооборот, руб]]/Таблица2_2[[#This Row],[Количество складов]]</f>
        <v>153835.97368421053</v>
      </c>
      <c r="I256" t="str">
        <f>--Таблица2_2[[#This Row],[Дата]]&amp;Таблица2_2[[#This Row],[Территория]]</f>
        <v>43967Краснодар</v>
      </c>
    </row>
    <row r="257" spans="1:9" x14ac:dyDescent="0.25">
      <c r="A257" s="12">
        <v>43967</v>
      </c>
      <c r="B257" s="13" t="s">
        <v>22</v>
      </c>
      <c r="C257">
        <v>54</v>
      </c>
      <c r="D257">
        <v>13170</v>
      </c>
      <c r="E257">
        <v>12299</v>
      </c>
      <c r="F257" s="14">
        <f>INDEX(Лист1!$D:$D,MATCH(I257,Лист1!$J:$J,0))</f>
        <v>22355338.5</v>
      </c>
      <c r="G257">
        <f>_xlfn.ISOWEEKNUM(Таблица2_2[[#This Row],[Дата]])</f>
        <v>20</v>
      </c>
      <c r="H257">
        <f>Таблица2_2[[#This Row],[Товарооборот, руб]]/Таблица2_2[[#This Row],[Количество складов]]</f>
        <v>413987.75</v>
      </c>
      <c r="I257" t="str">
        <f>--Таблица2_2[[#This Row],[Дата]]&amp;Таблица2_2[[#This Row],[Территория]]</f>
        <v>43967Москва Восток</v>
      </c>
    </row>
    <row r="258" spans="1:9" x14ac:dyDescent="0.25">
      <c r="A258" s="12">
        <v>43967</v>
      </c>
      <c r="B258" s="13" t="s">
        <v>21</v>
      </c>
      <c r="C258">
        <v>60</v>
      </c>
      <c r="D258">
        <v>14049</v>
      </c>
      <c r="E258">
        <v>13118</v>
      </c>
      <c r="F258" s="14">
        <f>INDEX(Лист1!$D:$D,MATCH(I258,Лист1!$J:$J,0))</f>
        <v>23689383</v>
      </c>
      <c r="G258">
        <f>_xlfn.ISOWEEKNUM(Таблица2_2[[#This Row],[Дата]])</f>
        <v>20</v>
      </c>
      <c r="H258">
        <f>Таблица2_2[[#This Row],[Товарооборот, руб]]/Таблица2_2[[#This Row],[Количество складов]]</f>
        <v>394823.05</v>
      </c>
      <c r="I258" t="str">
        <f>--Таблица2_2[[#This Row],[Дата]]&amp;Таблица2_2[[#This Row],[Территория]]</f>
        <v>43967Москва Запад</v>
      </c>
    </row>
    <row r="259" spans="1:9" x14ac:dyDescent="0.25">
      <c r="A259" s="12">
        <v>43967</v>
      </c>
      <c r="B259" s="13" t="s">
        <v>13</v>
      </c>
      <c r="C259">
        <v>19</v>
      </c>
      <c r="D259">
        <v>2080</v>
      </c>
      <c r="E259">
        <v>1844</v>
      </c>
      <c r="F259" s="14">
        <f>INDEX(Лист1!$D:$D,MATCH(I259,Лист1!$J:$J,0))</f>
        <v>3222517.5</v>
      </c>
      <c r="G259">
        <f>_xlfn.ISOWEEKNUM(Таблица2_2[[#This Row],[Дата]])</f>
        <v>20</v>
      </c>
      <c r="H259">
        <f>Таблица2_2[[#This Row],[Товарооборот, руб]]/Таблица2_2[[#This Row],[Количество складов]]</f>
        <v>169606.18421052632</v>
      </c>
      <c r="I259" t="str">
        <f>--Таблица2_2[[#This Row],[Дата]]&amp;Таблица2_2[[#This Row],[Территория]]</f>
        <v>43967Нижний Новгород</v>
      </c>
    </row>
    <row r="260" spans="1:9" x14ac:dyDescent="0.25">
      <c r="A260" s="12">
        <v>43967</v>
      </c>
      <c r="B260" s="13" t="s">
        <v>23</v>
      </c>
      <c r="C260">
        <v>16</v>
      </c>
      <c r="D260">
        <v>920</v>
      </c>
      <c r="E260">
        <v>818</v>
      </c>
      <c r="F260" s="14">
        <f>INDEX(Лист1!$D:$D,MATCH(I260,Лист1!$J:$J,0))</f>
        <v>1316350.5</v>
      </c>
      <c r="G260">
        <f>_xlfn.ISOWEEKNUM(Таблица2_2[[#This Row],[Дата]])</f>
        <v>20</v>
      </c>
      <c r="H260">
        <f>Таблица2_2[[#This Row],[Товарооборот, руб]]/Таблица2_2[[#This Row],[Количество складов]]</f>
        <v>82271.90625</v>
      </c>
      <c r="I260" t="str">
        <f>--Таблица2_2[[#This Row],[Дата]]&amp;Таблица2_2[[#This Row],[Территория]]</f>
        <v>43967Новосибирск</v>
      </c>
    </row>
    <row r="261" spans="1:9" x14ac:dyDescent="0.25">
      <c r="A261" s="12">
        <v>43967</v>
      </c>
      <c r="B261" s="13" t="s">
        <v>18</v>
      </c>
      <c r="C261">
        <v>15</v>
      </c>
      <c r="D261">
        <v>1111</v>
      </c>
      <c r="E261">
        <v>992</v>
      </c>
      <c r="F261" s="14">
        <f>INDEX(Лист1!$D:$D,MATCH(I261,Лист1!$J:$J,0))</f>
        <v>1601425.5</v>
      </c>
      <c r="G261">
        <f>_xlfn.ISOWEEKNUM(Таблица2_2[[#This Row],[Дата]])</f>
        <v>20</v>
      </c>
      <c r="H261">
        <f>Таблица2_2[[#This Row],[Товарооборот, руб]]/Таблица2_2[[#This Row],[Количество складов]]</f>
        <v>106761.7</v>
      </c>
      <c r="I261" t="str">
        <f>--Таблица2_2[[#This Row],[Дата]]&amp;Таблица2_2[[#This Row],[Территория]]</f>
        <v>43967Пермь</v>
      </c>
    </row>
    <row r="262" spans="1:9" x14ac:dyDescent="0.25">
      <c r="A262" s="12">
        <v>43967</v>
      </c>
      <c r="B262" s="13" t="s">
        <v>19</v>
      </c>
      <c r="C262">
        <v>15</v>
      </c>
      <c r="D262">
        <v>747</v>
      </c>
      <c r="E262">
        <v>647</v>
      </c>
      <c r="F262" s="14">
        <f>INDEX(Лист1!$D:$D,MATCH(I262,Лист1!$J:$J,0))</f>
        <v>1215033</v>
      </c>
      <c r="G262">
        <f>_xlfn.ISOWEEKNUM(Таблица2_2[[#This Row],[Дата]])</f>
        <v>20</v>
      </c>
      <c r="H262">
        <f>Таблица2_2[[#This Row],[Товарооборот, руб]]/Таблица2_2[[#This Row],[Количество складов]]</f>
        <v>81002.2</v>
      </c>
      <c r="I262" t="str">
        <f>--Таблица2_2[[#This Row],[Дата]]&amp;Таблица2_2[[#This Row],[Территория]]</f>
        <v>43967Ростов-на-Дону</v>
      </c>
    </row>
    <row r="263" spans="1:9" x14ac:dyDescent="0.25">
      <c r="A263" s="12">
        <v>43967</v>
      </c>
      <c r="B263" s="13" t="s">
        <v>15</v>
      </c>
      <c r="C263">
        <v>125</v>
      </c>
      <c r="D263">
        <v>22291</v>
      </c>
      <c r="E263">
        <v>20635</v>
      </c>
      <c r="F263" s="14">
        <f>INDEX(Лист1!$D:$D,MATCH(I263,Лист1!$J:$J,0))</f>
        <v>42323631</v>
      </c>
      <c r="G263">
        <f>_xlfn.ISOWEEKNUM(Таблица2_2[[#This Row],[Дата]])</f>
        <v>20</v>
      </c>
      <c r="H263">
        <f>Таблица2_2[[#This Row],[Товарооборот, руб]]/Таблица2_2[[#This Row],[Количество складов]]</f>
        <v>338589.04800000001</v>
      </c>
      <c r="I263" t="str">
        <f>--Таблица2_2[[#This Row],[Дата]]&amp;Таблица2_2[[#This Row],[Территория]]</f>
        <v>43967Санкт-Петербург Север</v>
      </c>
    </row>
    <row r="264" spans="1:9" x14ac:dyDescent="0.25">
      <c r="A264" s="12">
        <v>43967</v>
      </c>
      <c r="B264" s="13" t="s">
        <v>14</v>
      </c>
      <c r="C264">
        <v>129</v>
      </c>
      <c r="D264">
        <v>17914</v>
      </c>
      <c r="E264">
        <v>16631</v>
      </c>
      <c r="F264" s="14">
        <f>INDEX(Лист1!$D:$D,MATCH(I264,Лист1!$J:$J,0))</f>
        <v>32235864</v>
      </c>
      <c r="G264">
        <f>_xlfn.ISOWEEKNUM(Таблица2_2[[#This Row],[Дата]])</f>
        <v>20</v>
      </c>
      <c r="H264">
        <f>Таблица2_2[[#This Row],[Товарооборот, руб]]/Таблица2_2[[#This Row],[Количество складов]]</f>
        <v>249890.41860465117</v>
      </c>
      <c r="I264" t="str">
        <f>--Таблица2_2[[#This Row],[Дата]]&amp;Таблица2_2[[#This Row],[Территория]]</f>
        <v>43967Санкт-Петербург Юг</v>
      </c>
    </row>
    <row r="265" spans="1:9" x14ac:dyDescent="0.25">
      <c r="A265" s="12">
        <v>43967</v>
      </c>
      <c r="B265" s="13" t="s">
        <v>12</v>
      </c>
      <c r="C265">
        <v>10</v>
      </c>
      <c r="D265">
        <v>760</v>
      </c>
      <c r="E265">
        <v>672</v>
      </c>
      <c r="F265" s="14">
        <f>INDEX(Лист1!$D:$D,MATCH(I265,Лист1!$J:$J,0))</f>
        <v>1130506.5</v>
      </c>
      <c r="G265">
        <f>_xlfn.ISOWEEKNUM(Таблица2_2[[#This Row],[Дата]])</f>
        <v>20</v>
      </c>
      <c r="H265">
        <f>Таблица2_2[[#This Row],[Товарооборот, руб]]/Таблица2_2[[#This Row],[Количество складов]]</f>
        <v>113050.65</v>
      </c>
      <c r="I265" t="str">
        <f>--Таблица2_2[[#This Row],[Дата]]&amp;Таблица2_2[[#This Row],[Территория]]</f>
        <v>43967Тольятти</v>
      </c>
    </row>
    <row r="266" spans="1:9" x14ac:dyDescent="0.25">
      <c r="A266" s="12">
        <v>43968</v>
      </c>
      <c r="B266" s="13" t="s">
        <v>16</v>
      </c>
      <c r="C266">
        <v>36</v>
      </c>
      <c r="D266">
        <v>4918</v>
      </c>
      <c r="E266">
        <v>4554</v>
      </c>
      <c r="F266" s="14">
        <f>INDEX(Лист1!$D:$D,MATCH(I266,Лист1!$J:$J,0))</f>
        <v>5952802.5</v>
      </c>
      <c r="G266">
        <f>_xlfn.ISOWEEKNUM(Таблица2_2[[#This Row],[Дата]])</f>
        <v>20</v>
      </c>
      <c r="H266">
        <f>Таблица2_2[[#This Row],[Товарооборот, руб]]/Таблица2_2[[#This Row],[Количество складов]]</f>
        <v>165355.625</v>
      </c>
      <c r="I266" t="str">
        <f>--Таблица2_2[[#This Row],[Дата]]&amp;Таблица2_2[[#This Row],[Территория]]</f>
        <v>43968Волгоград</v>
      </c>
    </row>
    <row r="267" spans="1:9" x14ac:dyDescent="0.25">
      <c r="A267" s="12">
        <v>43968</v>
      </c>
      <c r="B267" s="13" t="s">
        <v>11</v>
      </c>
      <c r="C267">
        <v>31</v>
      </c>
      <c r="D267">
        <v>5206</v>
      </c>
      <c r="E267">
        <v>4843</v>
      </c>
      <c r="F267" s="14">
        <f>INDEX(Лист1!$D:$D,MATCH(I267,Лист1!$J:$J,0))</f>
        <v>6774946.5</v>
      </c>
      <c r="G267">
        <f>_xlfn.ISOWEEKNUM(Таблица2_2[[#This Row],[Дата]])</f>
        <v>20</v>
      </c>
      <c r="H267">
        <f>Таблица2_2[[#This Row],[Товарооборот, руб]]/Таблица2_2[[#This Row],[Количество складов]]</f>
        <v>218546.66129032258</v>
      </c>
      <c r="I267" t="str">
        <f>--Таблица2_2[[#This Row],[Дата]]&amp;Таблица2_2[[#This Row],[Территория]]</f>
        <v>43968Екатеринбург</v>
      </c>
    </row>
    <row r="268" spans="1:9" x14ac:dyDescent="0.25">
      <c r="A268" s="12">
        <v>43968</v>
      </c>
      <c r="B268" s="13" t="s">
        <v>17</v>
      </c>
      <c r="C268">
        <v>21</v>
      </c>
      <c r="D268">
        <v>2054</v>
      </c>
      <c r="E268">
        <v>1883</v>
      </c>
      <c r="F268" s="14">
        <f>INDEX(Лист1!$D:$D,MATCH(I268,Лист1!$J:$J,0))</f>
        <v>3191155.5</v>
      </c>
      <c r="G268">
        <f>_xlfn.ISOWEEKNUM(Таблица2_2[[#This Row],[Дата]])</f>
        <v>20</v>
      </c>
      <c r="H268">
        <f>Таблица2_2[[#This Row],[Товарооборот, руб]]/Таблица2_2[[#This Row],[Количество складов]]</f>
        <v>151959.78571428571</v>
      </c>
      <c r="I268" t="str">
        <f>--Таблица2_2[[#This Row],[Дата]]&amp;Таблица2_2[[#This Row],[Территория]]</f>
        <v>43968Казань</v>
      </c>
    </row>
    <row r="269" spans="1:9" x14ac:dyDescent="0.25">
      <c r="A269" s="12">
        <v>43968</v>
      </c>
      <c r="B269" s="13" t="s">
        <v>10</v>
      </c>
      <c r="C269">
        <v>21</v>
      </c>
      <c r="D269">
        <v>1874</v>
      </c>
      <c r="E269">
        <v>1705</v>
      </c>
      <c r="F269" s="14">
        <f>INDEX(Лист1!$D:$D,MATCH(I269,Лист1!$J:$J,0))</f>
        <v>2882458.5</v>
      </c>
      <c r="G269">
        <f>_xlfn.ISOWEEKNUM(Таблица2_2[[#This Row],[Дата]])</f>
        <v>20</v>
      </c>
      <c r="H269">
        <f>Таблица2_2[[#This Row],[Товарооборот, руб]]/Таблица2_2[[#This Row],[Количество складов]]</f>
        <v>137259.92857142858</v>
      </c>
      <c r="I269" t="str">
        <f>--Таблица2_2[[#This Row],[Дата]]&amp;Таблица2_2[[#This Row],[Территория]]</f>
        <v>43968Кемерово</v>
      </c>
    </row>
    <row r="270" spans="1:9" x14ac:dyDescent="0.25">
      <c r="A270" s="12">
        <v>43968</v>
      </c>
      <c r="B270" s="13" t="s">
        <v>20</v>
      </c>
      <c r="C270">
        <v>19</v>
      </c>
      <c r="D270">
        <v>1790</v>
      </c>
      <c r="E270">
        <v>1633</v>
      </c>
      <c r="F270" s="14">
        <f>INDEX(Лист1!$D:$D,MATCH(I270,Лист1!$J:$J,0))</f>
        <v>2435632.5</v>
      </c>
      <c r="G270">
        <f>_xlfn.ISOWEEKNUM(Таблица2_2[[#This Row],[Дата]])</f>
        <v>20</v>
      </c>
      <c r="H270">
        <f>Таблица2_2[[#This Row],[Товарооборот, руб]]/Таблица2_2[[#This Row],[Количество складов]]</f>
        <v>128191.18421052632</v>
      </c>
      <c r="I270" t="str">
        <f>--Таблица2_2[[#This Row],[Дата]]&amp;Таблица2_2[[#This Row],[Территория]]</f>
        <v>43968Краснодар</v>
      </c>
    </row>
    <row r="271" spans="1:9" x14ac:dyDescent="0.25">
      <c r="A271" s="12">
        <v>43968</v>
      </c>
      <c r="B271" s="13" t="s">
        <v>22</v>
      </c>
      <c r="C271">
        <v>54</v>
      </c>
      <c r="D271">
        <v>11128</v>
      </c>
      <c r="E271">
        <v>10467</v>
      </c>
      <c r="F271" s="14">
        <f>INDEX(Лист1!$D:$D,MATCH(I271,Лист1!$J:$J,0))</f>
        <v>18449091</v>
      </c>
      <c r="G271">
        <f>_xlfn.ISOWEEKNUM(Таблица2_2[[#This Row],[Дата]])</f>
        <v>20</v>
      </c>
      <c r="H271">
        <f>Таблица2_2[[#This Row],[Товарооборот, руб]]/Таблица2_2[[#This Row],[Количество складов]]</f>
        <v>341649.83333333331</v>
      </c>
      <c r="I271" t="str">
        <f>--Таблица2_2[[#This Row],[Дата]]&amp;Таблица2_2[[#This Row],[Территория]]</f>
        <v>43968Москва Восток</v>
      </c>
    </row>
    <row r="272" spans="1:9" x14ac:dyDescent="0.25">
      <c r="A272" s="12">
        <v>43968</v>
      </c>
      <c r="B272" s="13" t="s">
        <v>21</v>
      </c>
      <c r="C272">
        <v>60</v>
      </c>
      <c r="D272">
        <v>11698</v>
      </c>
      <c r="E272">
        <v>10989</v>
      </c>
      <c r="F272" s="14">
        <f>INDEX(Лист1!$D:$D,MATCH(I272,Лист1!$J:$J,0))</f>
        <v>19546386</v>
      </c>
      <c r="G272">
        <f>_xlfn.ISOWEEKNUM(Таблица2_2[[#This Row],[Дата]])</f>
        <v>20</v>
      </c>
      <c r="H272">
        <f>Таблица2_2[[#This Row],[Товарооборот, руб]]/Таблица2_2[[#This Row],[Количество складов]]</f>
        <v>325773.09999999998</v>
      </c>
      <c r="I272" t="str">
        <f>--Таблица2_2[[#This Row],[Дата]]&amp;Таблица2_2[[#This Row],[Территория]]</f>
        <v>43968Москва Запад</v>
      </c>
    </row>
    <row r="273" spans="1:9" x14ac:dyDescent="0.25">
      <c r="A273" s="12">
        <v>43968</v>
      </c>
      <c r="B273" s="13" t="s">
        <v>13</v>
      </c>
      <c r="C273">
        <v>19</v>
      </c>
      <c r="D273">
        <v>1871</v>
      </c>
      <c r="E273">
        <v>1660</v>
      </c>
      <c r="F273" s="14">
        <f>INDEX(Лист1!$D:$D,MATCH(I273,Лист1!$J:$J,0))</f>
        <v>2694289.5</v>
      </c>
      <c r="G273">
        <f>_xlfn.ISOWEEKNUM(Таблица2_2[[#This Row],[Дата]])</f>
        <v>20</v>
      </c>
      <c r="H273">
        <f>Таблица2_2[[#This Row],[Товарооборот, руб]]/Таблица2_2[[#This Row],[Количество складов]]</f>
        <v>141804.71052631579</v>
      </c>
      <c r="I273" t="str">
        <f>--Таблица2_2[[#This Row],[Дата]]&amp;Таблица2_2[[#This Row],[Территория]]</f>
        <v>43968Нижний Новгород</v>
      </c>
    </row>
    <row r="274" spans="1:9" x14ac:dyDescent="0.25">
      <c r="A274" s="12">
        <v>43968</v>
      </c>
      <c r="B274" s="13" t="s">
        <v>23</v>
      </c>
      <c r="C274">
        <v>16</v>
      </c>
      <c r="D274">
        <v>859</v>
      </c>
      <c r="E274">
        <v>746</v>
      </c>
      <c r="F274" s="14">
        <f>INDEX(Лист1!$D:$D,MATCH(I274,Лист1!$J:$J,0))</f>
        <v>1157529</v>
      </c>
      <c r="G274">
        <f>_xlfn.ISOWEEKNUM(Таблица2_2[[#This Row],[Дата]])</f>
        <v>20</v>
      </c>
      <c r="H274">
        <f>Таблица2_2[[#This Row],[Товарооборот, руб]]/Таблица2_2[[#This Row],[Количество складов]]</f>
        <v>72345.5625</v>
      </c>
      <c r="I274" t="str">
        <f>--Таблица2_2[[#This Row],[Дата]]&amp;Таблица2_2[[#This Row],[Территория]]</f>
        <v>43968Новосибирск</v>
      </c>
    </row>
    <row r="275" spans="1:9" x14ac:dyDescent="0.25">
      <c r="A275" s="12">
        <v>43968</v>
      </c>
      <c r="B275" s="13" t="s">
        <v>18</v>
      </c>
      <c r="C275">
        <v>15</v>
      </c>
      <c r="D275">
        <v>971</v>
      </c>
      <c r="E275">
        <v>856</v>
      </c>
      <c r="F275" s="14">
        <f>INDEX(Лист1!$D:$D,MATCH(I275,Лист1!$J:$J,0))</f>
        <v>1377577.5</v>
      </c>
      <c r="G275">
        <f>_xlfn.ISOWEEKNUM(Таблица2_2[[#This Row],[Дата]])</f>
        <v>20</v>
      </c>
      <c r="H275">
        <f>Таблица2_2[[#This Row],[Товарооборот, руб]]/Таблица2_2[[#This Row],[Количество складов]]</f>
        <v>91838.5</v>
      </c>
      <c r="I275" t="str">
        <f>--Таблица2_2[[#This Row],[Дата]]&amp;Таблица2_2[[#This Row],[Территория]]</f>
        <v>43968Пермь</v>
      </c>
    </row>
    <row r="276" spans="1:9" x14ac:dyDescent="0.25">
      <c r="A276" s="12">
        <v>43968</v>
      </c>
      <c r="B276" s="13" t="s">
        <v>19</v>
      </c>
      <c r="C276">
        <v>15</v>
      </c>
      <c r="D276">
        <v>692</v>
      </c>
      <c r="E276">
        <v>591</v>
      </c>
      <c r="F276" s="14">
        <f>INDEX(Лист1!$D:$D,MATCH(I276,Лист1!$J:$J,0))</f>
        <v>1060489.5</v>
      </c>
      <c r="G276">
        <f>_xlfn.ISOWEEKNUM(Таблица2_2[[#This Row],[Дата]])</f>
        <v>20</v>
      </c>
      <c r="H276">
        <f>Таблица2_2[[#This Row],[Товарооборот, руб]]/Таблица2_2[[#This Row],[Количество складов]]</f>
        <v>70699.3</v>
      </c>
      <c r="I276" t="str">
        <f>--Таблица2_2[[#This Row],[Дата]]&amp;Таблица2_2[[#This Row],[Территория]]</f>
        <v>43968Ростов-на-Дону</v>
      </c>
    </row>
    <row r="277" spans="1:9" x14ac:dyDescent="0.25">
      <c r="A277" s="12">
        <v>43968</v>
      </c>
      <c r="B277" s="13" t="s">
        <v>15</v>
      </c>
      <c r="C277">
        <v>125</v>
      </c>
      <c r="D277">
        <v>20079</v>
      </c>
      <c r="E277">
        <v>18721</v>
      </c>
      <c r="F277" s="14">
        <f>INDEX(Лист1!$D:$D,MATCH(I277,Лист1!$J:$J,0))</f>
        <v>36834567</v>
      </c>
      <c r="G277">
        <f>_xlfn.ISOWEEKNUM(Таблица2_2[[#This Row],[Дата]])</f>
        <v>20</v>
      </c>
      <c r="H277">
        <f>Таблица2_2[[#This Row],[Товарооборот, руб]]/Таблица2_2[[#This Row],[Количество складов]]</f>
        <v>294676.53600000002</v>
      </c>
      <c r="I277" t="str">
        <f>--Таблица2_2[[#This Row],[Дата]]&amp;Таблица2_2[[#This Row],[Территория]]</f>
        <v>43968Санкт-Петербург Север</v>
      </c>
    </row>
    <row r="278" spans="1:9" x14ac:dyDescent="0.25">
      <c r="A278" s="12">
        <v>43968</v>
      </c>
      <c r="B278" s="13" t="s">
        <v>14</v>
      </c>
      <c r="C278">
        <v>129</v>
      </c>
      <c r="D278">
        <v>15744</v>
      </c>
      <c r="E278">
        <v>14685</v>
      </c>
      <c r="F278" s="14">
        <f>INDEX(Лист1!$D:$D,MATCH(I278,Лист1!$J:$J,0))</f>
        <v>26659930.5</v>
      </c>
      <c r="G278">
        <f>_xlfn.ISOWEEKNUM(Таблица2_2[[#This Row],[Дата]])</f>
        <v>20</v>
      </c>
      <c r="H278">
        <f>Таблица2_2[[#This Row],[Товарооборот, руб]]/Таблица2_2[[#This Row],[Количество складов]]</f>
        <v>206666.12790697673</v>
      </c>
      <c r="I278" t="str">
        <f>--Таблица2_2[[#This Row],[Дата]]&amp;Таблица2_2[[#This Row],[Территория]]</f>
        <v>43968Санкт-Петербург Юг</v>
      </c>
    </row>
    <row r="279" spans="1:9" x14ac:dyDescent="0.25">
      <c r="A279" s="12">
        <v>43968</v>
      </c>
      <c r="B279" s="13" t="s">
        <v>12</v>
      </c>
      <c r="C279">
        <v>10</v>
      </c>
      <c r="D279">
        <v>591</v>
      </c>
      <c r="E279">
        <v>513</v>
      </c>
      <c r="F279" s="14">
        <f>INDEX(Лист1!$D:$D,MATCH(I279,Лист1!$J:$J,0))</f>
        <v>843727.5</v>
      </c>
      <c r="G279">
        <f>_xlfn.ISOWEEKNUM(Таблица2_2[[#This Row],[Дата]])</f>
        <v>20</v>
      </c>
      <c r="H279">
        <f>Таблица2_2[[#This Row],[Товарооборот, руб]]/Таблица2_2[[#This Row],[Количество складов]]</f>
        <v>84372.75</v>
      </c>
      <c r="I279" t="str">
        <f>--Таблица2_2[[#This Row],[Дата]]&amp;Таблица2_2[[#This Row],[Территория]]</f>
        <v>43968Тольятти</v>
      </c>
    </row>
    <row r="280" spans="1:9" x14ac:dyDescent="0.25">
      <c r="A280" s="12">
        <v>43969</v>
      </c>
      <c r="B280" s="13" t="s">
        <v>16</v>
      </c>
      <c r="C280">
        <v>36</v>
      </c>
      <c r="D280">
        <v>4885</v>
      </c>
      <c r="E280">
        <v>4502</v>
      </c>
      <c r="F280" s="14">
        <f>INDEX(Лист1!$D:$D,MATCH(I280,Лист1!$J:$J,0))</f>
        <v>5798476.5</v>
      </c>
      <c r="G280">
        <f>_xlfn.ISOWEEKNUM(Таблица2_2[[#This Row],[Дата]])</f>
        <v>21</v>
      </c>
      <c r="H280">
        <f>Таблица2_2[[#This Row],[Товарооборот, руб]]/Таблица2_2[[#This Row],[Количество складов]]</f>
        <v>161068.79166666666</v>
      </c>
      <c r="I280" t="str">
        <f>--Таблица2_2[[#This Row],[Дата]]&amp;Таблица2_2[[#This Row],[Территория]]</f>
        <v>43969Волгоград</v>
      </c>
    </row>
    <row r="281" spans="1:9" x14ac:dyDescent="0.25">
      <c r="A281" s="12">
        <v>43969</v>
      </c>
      <c r="B281" s="13" t="s">
        <v>11</v>
      </c>
      <c r="C281">
        <v>31</v>
      </c>
      <c r="D281">
        <v>5165</v>
      </c>
      <c r="E281">
        <v>4813</v>
      </c>
      <c r="F281" s="14">
        <f>INDEX(Лист1!$D:$D,MATCH(I281,Лист1!$J:$J,0))</f>
        <v>6609714</v>
      </c>
      <c r="G281">
        <f>_xlfn.ISOWEEKNUM(Таблица2_2[[#This Row],[Дата]])</f>
        <v>21</v>
      </c>
      <c r="H281">
        <f>Таблица2_2[[#This Row],[Товарооборот, руб]]/Таблица2_2[[#This Row],[Количество складов]]</f>
        <v>213216.5806451613</v>
      </c>
      <c r="I281" t="str">
        <f>--Таблица2_2[[#This Row],[Дата]]&amp;Таблица2_2[[#This Row],[Территория]]</f>
        <v>43969Екатеринбург</v>
      </c>
    </row>
    <row r="282" spans="1:9" x14ac:dyDescent="0.25">
      <c r="A282" s="12">
        <v>43969</v>
      </c>
      <c r="B282" s="13" t="s">
        <v>17</v>
      </c>
      <c r="C282">
        <v>21</v>
      </c>
      <c r="D282">
        <v>2136</v>
      </c>
      <c r="E282">
        <v>1947</v>
      </c>
      <c r="F282" s="14">
        <f>INDEX(Лист1!$D:$D,MATCH(I282,Лист1!$J:$J,0))</f>
        <v>3360135</v>
      </c>
      <c r="G282">
        <f>_xlfn.ISOWEEKNUM(Таблица2_2[[#This Row],[Дата]])</f>
        <v>21</v>
      </c>
      <c r="H282">
        <f>Таблица2_2[[#This Row],[Товарооборот, руб]]/Таблица2_2[[#This Row],[Количество складов]]</f>
        <v>160006.42857142858</v>
      </c>
      <c r="I282" t="str">
        <f>--Таблица2_2[[#This Row],[Дата]]&amp;Таблица2_2[[#This Row],[Территория]]</f>
        <v>43969Казань</v>
      </c>
    </row>
    <row r="283" spans="1:9" x14ac:dyDescent="0.25">
      <c r="A283" s="12">
        <v>43969</v>
      </c>
      <c r="B283" s="13" t="s">
        <v>10</v>
      </c>
      <c r="C283">
        <v>21</v>
      </c>
      <c r="D283">
        <v>1834</v>
      </c>
      <c r="E283">
        <v>1660</v>
      </c>
      <c r="F283" s="14">
        <f>INDEX(Лист1!$D:$D,MATCH(I283,Лист1!$J:$J,0))</f>
        <v>2826379.5</v>
      </c>
      <c r="G283">
        <f>_xlfn.ISOWEEKNUM(Таблица2_2[[#This Row],[Дата]])</f>
        <v>21</v>
      </c>
      <c r="H283">
        <f>Таблица2_2[[#This Row],[Товарооборот, руб]]/Таблица2_2[[#This Row],[Количество складов]]</f>
        <v>134589.5</v>
      </c>
      <c r="I283" t="str">
        <f>--Таблица2_2[[#This Row],[Дата]]&amp;Таблица2_2[[#This Row],[Территория]]</f>
        <v>43969Кемерово</v>
      </c>
    </row>
    <row r="284" spans="1:9" x14ac:dyDescent="0.25">
      <c r="A284" s="12">
        <v>43969</v>
      </c>
      <c r="B284" s="13" t="s">
        <v>20</v>
      </c>
      <c r="C284">
        <v>19</v>
      </c>
      <c r="D284">
        <v>1741</v>
      </c>
      <c r="E284">
        <v>1597</v>
      </c>
      <c r="F284" s="14">
        <f>INDEX(Лист1!$D:$D,MATCH(I284,Лист1!$J:$J,0))</f>
        <v>2324490</v>
      </c>
      <c r="G284">
        <f>_xlfn.ISOWEEKNUM(Таблица2_2[[#This Row],[Дата]])</f>
        <v>21</v>
      </c>
      <c r="H284">
        <f>Таблица2_2[[#This Row],[Товарооборот, руб]]/Таблица2_2[[#This Row],[Количество складов]]</f>
        <v>122341.57894736843</v>
      </c>
      <c r="I284" t="str">
        <f>--Таблица2_2[[#This Row],[Дата]]&amp;Таблица2_2[[#This Row],[Территория]]</f>
        <v>43969Краснодар</v>
      </c>
    </row>
    <row r="285" spans="1:9" x14ac:dyDescent="0.25">
      <c r="A285" s="12">
        <v>43969</v>
      </c>
      <c r="B285" s="13" t="s">
        <v>22</v>
      </c>
      <c r="C285">
        <v>54</v>
      </c>
      <c r="D285">
        <v>12012</v>
      </c>
      <c r="E285">
        <v>11308</v>
      </c>
      <c r="F285" s="14">
        <f>INDEX(Лист1!$D:$D,MATCH(I285,Лист1!$J:$J,0))</f>
        <v>19855122</v>
      </c>
      <c r="G285">
        <f>_xlfn.ISOWEEKNUM(Таблица2_2[[#This Row],[Дата]])</f>
        <v>21</v>
      </c>
      <c r="H285">
        <f>Таблица2_2[[#This Row],[Товарооборот, руб]]/Таблица2_2[[#This Row],[Количество складов]]</f>
        <v>367687.44444444444</v>
      </c>
      <c r="I285" t="str">
        <f>--Таблица2_2[[#This Row],[Дата]]&amp;Таблица2_2[[#This Row],[Территория]]</f>
        <v>43969Москва Восток</v>
      </c>
    </row>
    <row r="286" spans="1:9" x14ac:dyDescent="0.25">
      <c r="A286" s="12">
        <v>43969</v>
      </c>
      <c r="B286" s="13" t="s">
        <v>21</v>
      </c>
      <c r="C286">
        <v>60</v>
      </c>
      <c r="D286">
        <v>12460</v>
      </c>
      <c r="E286">
        <v>11665</v>
      </c>
      <c r="F286" s="14">
        <f>INDEX(Лист1!$D:$D,MATCH(I286,Лист1!$J:$J,0))</f>
        <v>20422435.5</v>
      </c>
      <c r="G286">
        <f>_xlfn.ISOWEEKNUM(Таблица2_2[[#This Row],[Дата]])</f>
        <v>21</v>
      </c>
      <c r="H286">
        <f>Таблица2_2[[#This Row],[Товарооборот, руб]]/Таблица2_2[[#This Row],[Количество складов]]</f>
        <v>340373.92499999999</v>
      </c>
      <c r="I286" t="str">
        <f>--Таблица2_2[[#This Row],[Дата]]&amp;Таблица2_2[[#This Row],[Территория]]</f>
        <v>43969Москва Запад</v>
      </c>
    </row>
    <row r="287" spans="1:9" x14ac:dyDescent="0.25">
      <c r="A287" s="12">
        <v>43969</v>
      </c>
      <c r="B287" s="13" t="s">
        <v>13</v>
      </c>
      <c r="C287">
        <v>19</v>
      </c>
      <c r="D287">
        <v>1858</v>
      </c>
      <c r="E287">
        <v>1648</v>
      </c>
      <c r="F287" s="14">
        <f>INDEX(Лист1!$D:$D,MATCH(I287,Лист1!$J:$J,0))</f>
        <v>2588148</v>
      </c>
      <c r="G287">
        <f>_xlfn.ISOWEEKNUM(Таблица2_2[[#This Row],[Дата]])</f>
        <v>21</v>
      </c>
      <c r="H287">
        <f>Таблица2_2[[#This Row],[Товарооборот, руб]]/Таблица2_2[[#This Row],[Количество складов]]</f>
        <v>136218.31578947368</v>
      </c>
      <c r="I287" t="str">
        <f>--Таблица2_2[[#This Row],[Дата]]&amp;Таблица2_2[[#This Row],[Территория]]</f>
        <v>43969Нижний Новгород</v>
      </c>
    </row>
    <row r="288" spans="1:9" x14ac:dyDescent="0.25">
      <c r="A288" s="12">
        <v>43969</v>
      </c>
      <c r="B288" s="13" t="s">
        <v>23</v>
      </c>
      <c r="C288">
        <v>16</v>
      </c>
      <c r="D288">
        <v>864</v>
      </c>
      <c r="E288">
        <v>765</v>
      </c>
      <c r="F288" s="14">
        <f>INDEX(Лист1!$D:$D,MATCH(I288,Лист1!$J:$J,0))</f>
        <v>1230711</v>
      </c>
      <c r="G288">
        <f>_xlfn.ISOWEEKNUM(Таблица2_2[[#This Row],[Дата]])</f>
        <v>21</v>
      </c>
      <c r="H288">
        <f>Таблица2_2[[#This Row],[Товарооборот, руб]]/Таблица2_2[[#This Row],[Количество складов]]</f>
        <v>76919.4375</v>
      </c>
      <c r="I288" t="str">
        <f>--Таблица2_2[[#This Row],[Дата]]&amp;Таблица2_2[[#This Row],[Территория]]</f>
        <v>43969Новосибирск</v>
      </c>
    </row>
    <row r="289" spans="1:9" x14ac:dyDescent="0.25">
      <c r="A289" s="12">
        <v>43969</v>
      </c>
      <c r="B289" s="13" t="s">
        <v>18</v>
      </c>
      <c r="C289">
        <v>16</v>
      </c>
      <c r="D289">
        <v>925</v>
      </c>
      <c r="E289">
        <v>816</v>
      </c>
      <c r="F289" s="14">
        <f>INDEX(Лист1!$D:$D,MATCH(I289,Лист1!$J:$J,0))</f>
        <v>1246162.5</v>
      </c>
      <c r="G289">
        <f>_xlfn.ISOWEEKNUM(Таблица2_2[[#This Row],[Дата]])</f>
        <v>21</v>
      </c>
      <c r="H289">
        <f>Таблица2_2[[#This Row],[Товарооборот, руб]]/Таблица2_2[[#This Row],[Количество складов]]</f>
        <v>77885.15625</v>
      </c>
      <c r="I289" t="str">
        <f>--Таблица2_2[[#This Row],[Дата]]&amp;Таблица2_2[[#This Row],[Территория]]</f>
        <v>43969Пермь</v>
      </c>
    </row>
    <row r="290" spans="1:9" x14ac:dyDescent="0.25">
      <c r="A290" s="12">
        <v>43969</v>
      </c>
      <c r="B290" s="13" t="s">
        <v>19</v>
      </c>
      <c r="C290">
        <v>15</v>
      </c>
      <c r="D290">
        <v>729</v>
      </c>
      <c r="E290">
        <v>636</v>
      </c>
      <c r="F290" s="14">
        <f>INDEX(Лист1!$D:$D,MATCH(I290,Лист1!$J:$J,0))</f>
        <v>1115146.5</v>
      </c>
      <c r="G290">
        <f>_xlfn.ISOWEEKNUM(Таблица2_2[[#This Row],[Дата]])</f>
        <v>21</v>
      </c>
      <c r="H290">
        <f>Таблица2_2[[#This Row],[Товарооборот, руб]]/Таблица2_2[[#This Row],[Количество складов]]</f>
        <v>74343.100000000006</v>
      </c>
      <c r="I290" t="str">
        <f>--Таблица2_2[[#This Row],[Дата]]&amp;Таблица2_2[[#This Row],[Территория]]</f>
        <v>43969Ростов-на-Дону</v>
      </c>
    </row>
    <row r="291" spans="1:9" x14ac:dyDescent="0.25">
      <c r="A291" s="12">
        <v>43969</v>
      </c>
      <c r="B291" s="13" t="s">
        <v>15</v>
      </c>
      <c r="C291">
        <v>125</v>
      </c>
      <c r="D291">
        <v>20449</v>
      </c>
      <c r="E291">
        <v>19060</v>
      </c>
      <c r="F291" s="14">
        <f>INDEX(Лист1!$D:$D,MATCH(I291,Лист1!$J:$J,0))</f>
        <v>36876888</v>
      </c>
      <c r="G291">
        <f>_xlfn.ISOWEEKNUM(Таблица2_2[[#This Row],[Дата]])</f>
        <v>21</v>
      </c>
      <c r="H291">
        <f>Таблица2_2[[#This Row],[Товарооборот, руб]]/Таблица2_2[[#This Row],[Количество складов]]</f>
        <v>295015.10399999999</v>
      </c>
      <c r="I291" t="str">
        <f>--Таблица2_2[[#This Row],[Дата]]&amp;Таблица2_2[[#This Row],[Территория]]</f>
        <v>43969Санкт-Петербург Север</v>
      </c>
    </row>
    <row r="292" spans="1:9" x14ac:dyDescent="0.25">
      <c r="A292" s="12">
        <v>43969</v>
      </c>
      <c r="B292" s="13" t="s">
        <v>14</v>
      </c>
      <c r="C292">
        <v>129</v>
      </c>
      <c r="D292">
        <v>16110</v>
      </c>
      <c r="E292">
        <v>14992</v>
      </c>
      <c r="F292" s="14">
        <f>INDEX(Лист1!$D:$D,MATCH(I292,Лист1!$J:$J,0))</f>
        <v>27535284.147600003</v>
      </c>
      <c r="G292">
        <f>_xlfn.ISOWEEKNUM(Таблица2_2[[#This Row],[Дата]])</f>
        <v>21</v>
      </c>
      <c r="H292">
        <f>Таблица2_2[[#This Row],[Товарооборот, руб]]/Таблица2_2[[#This Row],[Количество складов]]</f>
        <v>213451.81509767444</v>
      </c>
      <c r="I292" t="str">
        <f>--Таблица2_2[[#This Row],[Дата]]&amp;Таблица2_2[[#This Row],[Территория]]</f>
        <v>43969Санкт-Петербург Юг</v>
      </c>
    </row>
    <row r="293" spans="1:9" x14ac:dyDescent="0.25">
      <c r="A293" s="12">
        <v>43969</v>
      </c>
      <c r="B293" s="13" t="s">
        <v>12</v>
      </c>
      <c r="C293">
        <v>10</v>
      </c>
      <c r="D293">
        <v>645</v>
      </c>
      <c r="E293">
        <v>565</v>
      </c>
      <c r="F293" s="14">
        <f>INDEX(Лист1!$D:$D,MATCH(I293,Лист1!$J:$J,0))</f>
        <v>936427.5</v>
      </c>
      <c r="G293">
        <f>_xlfn.ISOWEEKNUM(Таблица2_2[[#This Row],[Дата]])</f>
        <v>21</v>
      </c>
      <c r="H293">
        <f>Таблица2_2[[#This Row],[Товарооборот, руб]]/Таблица2_2[[#This Row],[Количество складов]]</f>
        <v>93642.75</v>
      </c>
      <c r="I293" t="str">
        <f>--Таблица2_2[[#This Row],[Дата]]&amp;Таблица2_2[[#This Row],[Территория]]</f>
        <v>43969Тольятти</v>
      </c>
    </row>
    <row r="294" spans="1:9" x14ac:dyDescent="0.25">
      <c r="A294" s="12">
        <v>43970</v>
      </c>
      <c r="B294" s="13" t="s">
        <v>16</v>
      </c>
      <c r="C294">
        <v>36</v>
      </c>
      <c r="D294">
        <v>5094</v>
      </c>
      <c r="E294">
        <v>4716</v>
      </c>
      <c r="F294" s="14">
        <f>INDEX(Лист1!$D:$D,MATCH(I294,Лист1!$J:$J,0))</f>
        <v>6173463</v>
      </c>
      <c r="G294">
        <f>_xlfn.ISOWEEKNUM(Таблица2_2[[#This Row],[Дата]])</f>
        <v>21</v>
      </c>
      <c r="H294">
        <f>Таблица2_2[[#This Row],[Товарооборот, руб]]/Таблица2_2[[#This Row],[Количество складов]]</f>
        <v>171485.08333333334</v>
      </c>
      <c r="I294" t="str">
        <f>--Таблица2_2[[#This Row],[Дата]]&amp;Таблица2_2[[#This Row],[Территория]]</f>
        <v>43970Волгоград</v>
      </c>
    </row>
    <row r="295" spans="1:9" x14ac:dyDescent="0.25">
      <c r="A295" s="12">
        <v>43970</v>
      </c>
      <c r="B295" s="13" t="s">
        <v>11</v>
      </c>
      <c r="C295">
        <v>31</v>
      </c>
      <c r="D295">
        <v>5389</v>
      </c>
      <c r="E295">
        <v>5024</v>
      </c>
      <c r="F295" s="14">
        <f>INDEX(Лист1!$D:$D,MATCH(I295,Лист1!$J:$J,0))</f>
        <v>6815511</v>
      </c>
      <c r="G295">
        <f>_xlfn.ISOWEEKNUM(Таблица2_2[[#This Row],[Дата]])</f>
        <v>21</v>
      </c>
      <c r="H295">
        <f>Таблица2_2[[#This Row],[Товарооборот, руб]]/Таблица2_2[[#This Row],[Количество складов]]</f>
        <v>219855.19354838709</v>
      </c>
      <c r="I295" t="str">
        <f>--Таблица2_2[[#This Row],[Дата]]&amp;Таблица2_2[[#This Row],[Территория]]</f>
        <v>43970Екатеринбург</v>
      </c>
    </row>
    <row r="296" spans="1:9" x14ac:dyDescent="0.25">
      <c r="A296" s="12">
        <v>43970</v>
      </c>
      <c r="B296" s="13" t="s">
        <v>17</v>
      </c>
      <c r="C296">
        <v>21</v>
      </c>
      <c r="D296">
        <v>2245</v>
      </c>
      <c r="E296">
        <v>2053</v>
      </c>
      <c r="F296" s="14">
        <f>INDEX(Лист1!$D:$D,MATCH(I296,Лист1!$J:$J,0))</f>
        <v>3552937.5</v>
      </c>
      <c r="G296">
        <f>_xlfn.ISOWEEKNUM(Таблица2_2[[#This Row],[Дата]])</f>
        <v>21</v>
      </c>
      <c r="H296">
        <f>Таблица2_2[[#This Row],[Товарооборот, руб]]/Таблица2_2[[#This Row],[Количество складов]]</f>
        <v>169187.5</v>
      </c>
      <c r="I296" t="str">
        <f>--Таблица2_2[[#This Row],[Дата]]&amp;Таблица2_2[[#This Row],[Территория]]</f>
        <v>43970Казань</v>
      </c>
    </row>
    <row r="297" spans="1:9" x14ac:dyDescent="0.25">
      <c r="A297" s="12">
        <v>43970</v>
      </c>
      <c r="B297" s="13" t="s">
        <v>10</v>
      </c>
      <c r="C297">
        <v>21</v>
      </c>
      <c r="D297">
        <v>1860</v>
      </c>
      <c r="E297">
        <v>1704</v>
      </c>
      <c r="F297" s="14">
        <f>INDEX(Лист1!$D:$D,MATCH(I297,Лист1!$J:$J,0))</f>
        <v>2771116.5</v>
      </c>
      <c r="G297">
        <f>_xlfn.ISOWEEKNUM(Таблица2_2[[#This Row],[Дата]])</f>
        <v>21</v>
      </c>
      <c r="H297">
        <f>Таблица2_2[[#This Row],[Товарооборот, руб]]/Таблица2_2[[#This Row],[Количество складов]]</f>
        <v>131957.92857142858</v>
      </c>
      <c r="I297" t="str">
        <f>--Таблица2_2[[#This Row],[Дата]]&amp;Таблица2_2[[#This Row],[Территория]]</f>
        <v>43970Кемерово</v>
      </c>
    </row>
    <row r="298" spans="1:9" x14ac:dyDescent="0.25">
      <c r="A298" s="12">
        <v>43970</v>
      </c>
      <c r="B298" s="13" t="s">
        <v>20</v>
      </c>
      <c r="C298">
        <v>19</v>
      </c>
      <c r="D298">
        <v>1831</v>
      </c>
      <c r="E298">
        <v>1667</v>
      </c>
      <c r="F298" s="14">
        <f>INDEX(Лист1!$D:$D,MATCH(I298,Лист1!$J:$J,0))</f>
        <v>2446530</v>
      </c>
      <c r="G298">
        <f>_xlfn.ISOWEEKNUM(Таблица2_2[[#This Row],[Дата]])</f>
        <v>21</v>
      </c>
      <c r="H298">
        <f>Таблица2_2[[#This Row],[Товарооборот, руб]]/Таблица2_2[[#This Row],[Количество складов]]</f>
        <v>128764.73684210527</v>
      </c>
      <c r="I298" t="str">
        <f>--Таблица2_2[[#This Row],[Дата]]&amp;Таблица2_2[[#This Row],[Территория]]</f>
        <v>43970Краснодар</v>
      </c>
    </row>
    <row r="299" spans="1:9" x14ac:dyDescent="0.25">
      <c r="A299" s="12">
        <v>43970</v>
      </c>
      <c r="B299" s="13" t="s">
        <v>22</v>
      </c>
      <c r="C299">
        <v>54</v>
      </c>
      <c r="D299">
        <v>13070</v>
      </c>
      <c r="E299">
        <v>12244</v>
      </c>
      <c r="F299" s="14">
        <f>INDEX(Лист1!$D:$D,MATCH(I299,Лист1!$J:$J,0))</f>
        <v>20590072.5</v>
      </c>
      <c r="G299">
        <f>_xlfn.ISOWEEKNUM(Таблица2_2[[#This Row],[Дата]])</f>
        <v>21</v>
      </c>
      <c r="H299">
        <f>Таблица2_2[[#This Row],[Товарооборот, руб]]/Таблица2_2[[#This Row],[Количество складов]]</f>
        <v>381297.63888888888</v>
      </c>
      <c r="I299" t="str">
        <f>--Таблица2_2[[#This Row],[Дата]]&amp;Таблица2_2[[#This Row],[Территория]]</f>
        <v>43970Москва Восток</v>
      </c>
    </row>
    <row r="300" spans="1:9" x14ac:dyDescent="0.25">
      <c r="A300" s="12">
        <v>43970</v>
      </c>
      <c r="B300" s="13" t="s">
        <v>21</v>
      </c>
      <c r="C300">
        <v>60</v>
      </c>
      <c r="D300">
        <v>13867</v>
      </c>
      <c r="E300">
        <v>12987</v>
      </c>
      <c r="F300" s="14">
        <f>INDEX(Лист1!$D:$D,MATCH(I300,Лист1!$J:$J,0))</f>
        <v>21945858</v>
      </c>
      <c r="G300">
        <f>_xlfn.ISOWEEKNUM(Таблица2_2[[#This Row],[Дата]])</f>
        <v>21</v>
      </c>
      <c r="H300">
        <f>Таблица2_2[[#This Row],[Товарооборот, руб]]/Таблица2_2[[#This Row],[Количество складов]]</f>
        <v>365764.3</v>
      </c>
      <c r="I300" t="str">
        <f>--Таблица2_2[[#This Row],[Дата]]&amp;Таблица2_2[[#This Row],[Территория]]</f>
        <v>43970Москва Запад</v>
      </c>
    </row>
    <row r="301" spans="1:9" x14ac:dyDescent="0.25">
      <c r="A301" s="12">
        <v>43970</v>
      </c>
      <c r="B301" s="13" t="s">
        <v>13</v>
      </c>
      <c r="C301">
        <v>19</v>
      </c>
      <c r="D301">
        <v>1999</v>
      </c>
      <c r="E301">
        <v>1799</v>
      </c>
      <c r="F301" s="14">
        <f>INDEX(Лист1!$D:$D,MATCH(I301,Лист1!$J:$J,0))</f>
        <v>2865337.5</v>
      </c>
      <c r="G301">
        <f>_xlfn.ISOWEEKNUM(Таблица2_2[[#This Row],[Дата]])</f>
        <v>21</v>
      </c>
      <c r="H301">
        <f>Таблица2_2[[#This Row],[Товарооборот, руб]]/Таблица2_2[[#This Row],[Количество складов]]</f>
        <v>150807.23684210525</v>
      </c>
      <c r="I301" t="str">
        <f>--Таблица2_2[[#This Row],[Дата]]&amp;Таблица2_2[[#This Row],[Территория]]</f>
        <v>43970Нижний Новгород</v>
      </c>
    </row>
    <row r="302" spans="1:9" x14ac:dyDescent="0.25">
      <c r="A302" s="12">
        <v>43970</v>
      </c>
      <c r="B302" s="13" t="s">
        <v>23</v>
      </c>
      <c r="C302">
        <v>17</v>
      </c>
      <c r="D302">
        <v>857</v>
      </c>
      <c r="E302">
        <v>757</v>
      </c>
      <c r="F302" s="14">
        <f>INDEX(Лист1!$D:$D,MATCH(I302,Лист1!$J:$J,0))</f>
        <v>1126810.5</v>
      </c>
      <c r="G302">
        <f>_xlfn.ISOWEEKNUM(Таблица2_2[[#This Row],[Дата]])</f>
        <v>21</v>
      </c>
      <c r="H302">
        <f>Таблица2_2[[#This Row],[Товарооборот, руб]]/Таблица2_2[[#This Row],[Количество складов]]</f>
        <v>66282.970588235301</v>
      </c>
      <c r="I302" t="str">
        <f>--Таблица2_2[[#This Row],[Дата]]&amp;Таблица2_2[[#This Row],[Территория]]</f>
        <v>43970Новосибирск</v>
      </c>
    </row>
    <row r="303" spans="1:9" x14ac:dyDescent="0.25">
      <c r="A303" s="12">
        <v>43970</v>
      </c>
      <c r="B303" s="13" t="s">
        <v>18</v>
      </c>
      <c r="C303">
        <v>16</v>
      </c>
      <c r="D303">
        <v>1012</v>
      </c>
      <c r="E303">
        <v>900</v>
      </c>
      <c r="F303" s="14">
        <f>INDEX(Лист1!$D:$D,MATCH(I303,Лист1!$J:$J,0))</f>
        <v>1364847</v>
      </c>
      <c r="G303">
        <f>_xlfn.ISOWEEKNUM(Таблица2_2[[#This Row],[Дата]])</f>
        <v>21</v>
      </c>
      <c r="H303">
        <f>Таблица2_2[[#This Row],[Товарооборот, руб]]/Таблица2_2[[#This Row],[Количество складов]]</f>
        <v>85302.9375</v>
      </c>
      <c r="I303" t="str">
        <f>--Таблица2_2[[#This Row],[Дата]]&amp;Таблица2_2[[#This Row],[Территория]]</f>
        <v>43970Пермь</v>
      </c>
    </row>
    <row r="304" spans="1:9" x14ac:dyDescent="0.25">
      <c r="A304" s="12">
        <v>43970</v>
      </c>
      <c r="B304" s="13" t="s">
        <v>19</v>
      </c>
      <c r="C304">
        <v>15</v>
      </c>
      <c r="D304">
        <v>930</v>
      </c>
      <c r="E304">
        <v>827</v>
      </c>
      <c r="F304" s="14">
        <f>INDEX(Лист1!$D:$D,MATCH(I304,Лист1!$J:$J,0))</f>
        <v>1403047.5</v>
      </c>
      <c r="G304">
        <f>_xlfn.ISOWEEKNUM(Таблица2_2[[#This Row],[Дата]])</f>
        <v>21</v>
      </c>
      <c r="H304">
        <f>Таблица2_2[[#This Row],[Товарооборот, руб]]/Таблица2_2[[#This Row],[Количество складов]]</f>
        <v>93536.5</v>
      </c>
      <c r="I304" t="str">
        <f>--Таблица2_2[[#This Row],[Дата]]&amp;Таблица2_2[[#This Row],[Территория]]</f>
        <v>43970Ростов-на-Дону</v>
      </c>
    </row>
    <row r="305" spans="1:9" x14ac:dyDescent="0.25">
      <c r="A305" s="12">
        <v>43970</v>
      </c>
      <c r="B305" s="13" t="s">
        <v>15</v>
      </c>
      <c r="C305">
        <v>125</v>
      </c>
      <c r="D305">
        <v>20771</v>
      </c>
      <c r="E305">
        <v>19338</v>
      </c>
      <c r="F305" s="14">
        <f>INDEX(Лист1!$D:$D,MATCH(I305,Лист1!$J:$J,0))</f>
        <v>37023243</v>
      </c>
      <c r="G305">
        <f>_xlfn.ISOWEEKNUM(Таблица2_2[[#This Row],[Дата]])</f>
        <v>21</v>
      </c>
      <c r="H305">
        <f>Таблица2_2[[#This Row],[Товарооборот, руб]]/Таблица2_2[[#This Row],[Количество складов]]</f>
        <v>296185.94400000002</v>
      </c>
      <c r="I305" t="str">
        <f>--Таблица2_2[[#This Row],[Дата]]&amp;Таблица2_2[[#This Row],[Территория]]</f>
        <v>43970Санкт-Петербург Север</v>
      </c>
    </row>
    <row r="306" spans="1:9" x14ac:dyDescent="0.25">
      <c r="A306" s="12">
        <v>43970</v>
      </c>
      <c r="B306" s="13" t="s">
        <v>14</v>
      </c>
      <c r="C306">
        <v>129</v>
      </c>
      <c r="D306">
        <v>16191</v>
      </c>
      <c r="E306">
        <v>15102</v>
      </c>
      <c r="F306" s="14">
        <f>INDEX(Лист1!$D:$D,MATCH(I306,Лист1!$J:$J,0))</f>
        <v>27093624</v>
      </c>
      <c r="G306">
        <f>_xlfn.ISOWEEKNUM(Таблица2_2[[#This Row],[Дата]])</f>
        <v>21</v>
      </c>
      <c r="H306">
        <f>Таблица2_2[[#This Row],[Товарооборот, руб]]/Таблица2_2[[#This Row],[Количество складов]]</f>
        <v>210028.09302325582</v>
      </c>
      <c r="I306" t="str">
        <f>--Таблица2_2[[#This Row],[Дата]]&amp;Таблица2_2[[#This Row],[Территория]]</f>
        <v>43970Санкт-Петербург Юг</v>
      </c>
    </row>
    <row r="307" spans="1:9" x14ac:dyDescent="0.25">
      <c r="A307" s="12">
        <v>43970</v>
      </c>
      <c r="B307" s="13" t="s">
        <v>12</v>
      </c>
      <c r="C307">
        <v>10</v>
      </c>
      <c r="D307">
        <v>649</v>
      </c>
      <c r="E307">
        <v>568</v>
      </c>
      <c r="F307" s="14">
        <f>INDEX(Лист1!$D:$D,MATCH(I307,Лист1!$J:$J,0))</f>
        <v>938764.5</v>
      </c>
      <c r="G307">
        <f>_xlfn.ISOWEEKNUM(Таблица2_2[[#This Row],[Дата]])</f>
        <v>21</v>
      </c>
      <c r="H307">
        <f>Таблица2_2[[#This Row],[Товарооборот, руб]]/Таблица2_2[[#This Row],[Количество складов]]</f>
        <v>93876.45</v>
      </c>
      <c r="I307" t="str">
        <f>--Таблица2_2[[#This Row],[Дата]]&amp;Таблица2_2[[#This Row],[Территория]]</f>
        <v>43970Тольятти</v>
      </c>
    </row>
    <row r="308" spans="1:9" x14ac:dyDescent="0.25">
      <c r="A308" s="12">
        <v>43971</v>
      </c>
      <c r="B308" s="13" t="s">
        <v>16</v>
      </c>
      <c r="C308">
        <v>36</v>
      </c>
      <c r="D308">
        <v>5914</v>
      </c>
      <c r="E308">
        <v>5384</v>
      </c>
      <c r="F308" s="14">
        <f>INDEX(Лист1!$D:$D,MATCH(I308,Лист1!$J:$J,0))</f>
        <v>7121946</v>
      </c>
      <c r="G308">
        <f>_xlfn.ISOWEEKNUM(Таблица2_2[[#This Row],[Дата]])</f>
        <v>21</v>
      </c>
      <c r="H308">
        <f>Таблица2_2[[#This Row],[Товарооборот, руб]]/Таблица2_2[[#This Row],[Количество складов]]</f>
        <v>197831.83333333334</v>
      </c>
      <c r="I308" t="str">
        <f>--Таблица2_2[[#This Row],[Дата]]&amp;Таблица2_2[[#This Row],[Территория]]</f>
        <v>43971Волгоград</v>
      </c>
    </row>
    <row r="309" spans="1:9" x14ac:dyDescent="0.25">
      <c r="A309" s="12">
        <v>43971</v>
      </c>
      <c r="B309" s="13" t="s">
        <v>11</v>
      </c>
      <c r="C309">
        <v>31</v>
      </c>
      <c r="D309">
        <v>5698</v>
      </c>
      <c r="E309">
        <v>5258</v>
      </c>
      <c r="F309" s="14">
        <f>INDEX(Лист1!$D:$D,MATCH(I309,Лист1!$J:$J,0))</f>
        <v>7247575.5</v>
      </c>
      <c r="G309">
        <f>_xlfn.ISOWEEKNUM(Таблица2_2[[#This Row],[Дата]])</f>
        <v>21</v>
      </c>
      <c r="H309">
        <f>Таблица2_2[[#This Row],[Товарооборот, руб]]/Таблица2_2[[#This Row],[Количество складов]]</f>
        <v>233792.75806451612</v>
      </c>
      <c r="I309" t="str">
        <f>--Таблица2_2[[#This Row],[Дата]]&amp;Таблица2_2[[#This Row],[Территория]]</f>
        <v>43971Екатеринбург</v>
      </c>
    </row>
    <row r="310" spans="1:9" x14ac:dyDescent="0.25">
      <c r="A310" s="12">
        <v>43971</v>
      </c>
      <c r="B310" s="13" t="s">
        <v>17</v>
      </c>
      <c r="C310">
        <v>21</v>
      </c>
      <c r="D310">
        <v>2410</v>
      </c>
      <c r="E310">
        <v>2202</v>
      </c>
      <c r="F310" s="14">
        <f>INDEX(Лист1!$D:$D,MATCH(I310,Лист1!$J:$J,0))</f>
        <v>3918987</v>
      </c>
      <c r="G310">
        <f>_xlfn.ISOWEEKNUM(Таблица2_2[[#This Row],[Дата]])</f>
        <v>21</v>
      </c>
      <c r="H310">
        <f>Таблица2_2[[#This Row],[Товарооборот, руб]]/Таблица2_2[[#This Row],[Количество складов]]</f>
        <v>186618.42857142858</v>
      </c>
      <c r="I310" t="str">
        <f>--Таблица2_2[[#This Row],[Дата]]&amp;Таблица2_2[[#This Row],[Территория]]</f>
        <v>43971Казань</v>
      </c>
    </row>
    <row r="311" spans="1:9" x14ac:dyDescent="0.25">
      <c r="A311" s="12">
        <v>43971</v>
      </c>
      <c r="B311" s="13" t="s">
        <v>10</v>
      </c>
      <c r="C311">
        <v>21</v>
      </c>
      <c r="D311">
        <v>1921</v>
      </c>
      <c r="E311">
        <v>1767</v>
      </c>
      <c r="F311" s="14">
        <f>INDEX(Лист1!$D:$D,MATCH(I311,Лист1!$J:$J,0))</f>
        <v>2929330.5</v>
      </c>
      <c r="G311">
        <f>_xlfn.ISOWEEKNUM(Таблица2_2[[#This Row],[Дата]])</f>
        <v>21</v>
      </c>
      <c r="H311">
        <f>Таблица2_2[[#This Row],[Товарооборот, руб]]/Таблица2_2[[#This Row],[Количество складов]]</f>
        <v>139491.92857142858</v>
      </c>
      <c r="I311" t="str">
        <f>--Таблица2_2[[#This Row],[Дата]]&amp;Таблица2_2[[#This Row],[Территория]]</f>
        <v>43971Кемерово</v>
      </c>
    </row>
    <row r="312" spans="1:9" x14ac:dyDescent="0.25">
      <c r="A312" s="12">
        <v>43971</v>
      </c>
      <c r="B312" s="13" t="s">
        <v>20</v>
      </c>
      <c r="C312">
        <v>19</v>
      </c>
      <c r="D312">
        <v>1823</v>
      </c>
      <c r="E312">
        <v>1678</v>
      </c>
      <c r="F312" s="14">
        <f>INDEX(Лист1!$D:$D,MATCH(I312,Лист1!$J:$J,0))</f>
        <v>2520759</v>
      </c>
      <c r="G312">
        <f>_xlfn.ISOWEEKNUM(Таблица2_2[[#This Row],[Дата]])</f>
        <v>21</v>
      </c>
      <c r="H312">
        <f>Таблица2_2[[#This Row],[Товарооборот, руб]]/Таблица2_2[[#This Row],[Количество складов]]</f>
        <v>132671.52631578947</v>
      </c>
      <c r="I312" t="str">
        <f>--Таблица2_2[[#This Row],[Дата]]&amp;Таблица2_2[[#This Row],[Территория]]</f>
        <v>43971Краснодар</v>
      </c>
    </row>
    <row r="313" spans="1:9" x14ac:dyDescent="0.25">
      <c r="A313" s="12">
        <v>43971</v>
      </c>
      <c r="B313" s="13" t="s">
        <v>22</v>
      </c>
      <c r="C313">
        <v>54</v>
      </c>
      <c r="D313">
        <v>13298</v>
      </c>
      <c r="E313">
        <v>12428</v>
      </c>
      <c r="F313" s="14">
        <f>INDEX(Лист1!$D:$D,MATCH(I313,Лист1!$J:$J,0))</f>
        <v>21411349.5</v>
      </c>
      <c r="G313">
        <f>_xlfn.ISOWEEKNUM(Таблица2_2[[#This Row],[Дата]])</f>
        <v>21</v>
      </c>
      <c r="H313">
        <f>Таблица2_2[[#This Row],[Товарооборот, руб]]/Таблица2_2[[#This Row],[Количество складов]]</f>
        <v>396506.47222222225</v>
      </c>
      <c r="I313" t="str">
        <f>--Таблица2_2[[#This Row],[Дата]]&amp;Таблица2_2[[#This Row],[Территория]]</f>
        <v>43971Москва Восток</v>
      </c>
    </row>
    <row r="314" spans="1:9" x14ac:dyDescent="0.25">
      <c r="A314" s="12">
        <v>43971</v>
      </c>
      <c r="B314" s="13" t="s">
        <v>21</v>
      </c>
      <c r="C314">
        <v>60</v>
      </c>
      <c r="D314">
        <v>13792</v>
      </c>
      <c r="E314">
        <v>12834</v>
      </c>
      <c r="F314" s="14">
        <f>INDEX(Лист1!$D:$D,MATCH(I314,Лист1!$J:$J,0))</f>
        <v>21959286</v>
      </c>
      <c r="G314">
        <f>_xlfn.ISOWEEKNUM(Таблица2_2[[#This Row],[Дата]])</f>
        <v>21</v>
      </c>
      <c r="H314">
        <f>Таблица2_2[[#This Row],[Товарооборот, руб]]/Таблица2_2[[#This Row],[Количество складов]]</f>
        <v>365988.1</v>
      </c>
      <c r="I314" t="str">
        <f>--Таблица2_2[[#This Row],[Дата]]&amp;Таблица2_2[[#This Row],[Территория]]</f>
        <v>43971Москва Запад</v>
      </c>
    </row>
    <row r="315" spans="1:9" x14ac:dyDescent="0.25">
      <c r="A315" s="12">
        <v>43971</v>
      </c>
      <c r="B315" s="13" t="s">
        <v>13</v>
      </c>
      <c r="C315">
        <v>19</v>
      </c>
      <c r="D315">
        <v>1889</v>
      </c>
      <c r="E315">
        <v>1690</v>
      </c>
      <c r="F315" s="14">
        <f>INDEX(Лист1!$D:$D,MATCH(I315,Лист1!$J:$J,0))</f>
        <v>2692230</v>
      </c>
      <c r="G315">
        <f>_xlfn.ISOWEEKNUM(Таблица2_2[[#This Row],[Дата]])</f>
        <v>21</v>
      </c>
      <c r="H315">
        <f>Таблица2_2[[#This Row],[Товарооборот, руб]]/Таблица2_2[[#This Row],[Количество складов]]</f>
        <v>141696.31578947368</v>
      </c>
      <c r="I315" t="str">
        <f>--Таблица2_2[[#This Row],[Дата]]&amp;Таблица2_2[[#This Row],[Территория]]</f>
        <v>43971Нижний Новгород</v>
      </c>
    </row>
    <row r="316" spans="1:9" x14ac:dyDescent="0.25">
      <c r="A316" s="12">
        <v>43971</v>
      </c>
      <c r="B316" s="13" t="s">
        <v>23</v>
      </c>
      <c r="C316">
        <v>17</v>
      </c>
      <c r="D316">
        <v>890</v>
      </c>
      <c r="E316">
        <v>794</v>
      </c>
      <c r="F316" s="14">
        <f>INDEX(Лист1!$D:$D,MATCH(I316,Лист1!$J:$J,0))</f>
        <v>1217749.5</v>
      </c>
      <c r="G316">
        <f>_xlfn.ISOWEEKNUM(Таблица2_2[[#This Row],[Дата]])</f>
        <v>21</v>
      </c>
      <c r="H316">
        <f>Таблица2_2[[#This Row],[Товарооборот, руб]]/Таблица2_2[[#This Row],[Количество складов]]</f>
        <v>71632.323529411762</v>
      </c>
      <c r="I316" t="str">
        <f>--Таблица2_2[[#This Row],[Дата]]&amp;Таблица2_2[[#This Row],[Территория]]</f>
        <v>43971Новосибирск</v>
      </c>
    </row>
    <row r="317" spans="1:9" x14ac:dyDescent="0.25">
      <c r="A317" s="12">
        <v>43971</v>
      </c>
      <c r="B317" s="13" t="s">
        <v>18</v>
      </c>
      <c r="C317">
        <v>16</v>
      </c>
      <c r="D317">
        <v>1050</v>
      </c>
      <c r="E317">
        <v>938</v>
      </c>
      <c r="F317" s="14">
        <f>INDEX(Лист1!$D:$D,MATCH(I317,Лист1!$J:$J,0))</f>
        <v>1430254.5</v>
      </c>
      <c r="G317">
        <f>_xlfn.ISOWEEKNUM(Таблица2_2[[#This Row],[Дата]])</f>
        <v>21</v>
      </c>
      <c r="H317">
        <f>Таблица2_2[[#This Row],[Товарооборот, руб]]/Таблица2_2[[#This Row],[Количество складов]]</f>
        <v>89390.90625</v>
      </c>
      <c r="I317" t="str">
        <f>--Таблица2_2[[#This Row],[Дата]]&amp;Таблица2_2[[#This Row],[Территория]]</f>
        <v>43971Пермь</v>
      </c>
    </row>
    <row r="318" spans="1:9" x14ac:dyDescent="0.25">
      <c r="A318" s="12">
        <v>43971</v>
      </c>
      <c r="B318" s="13" t="s">
        <v>19</v>
      </c>
      <c r="C318">
        <v>15</v>
      </c>
      <c r="D318">
        <v>760</v>
      </c>
      <c r="E318">
        <v>664</v>
      </c>
      <c r="F318" s="14">
        <f>INDEX(Лист1!$D:$D,MATCH(I318,Лист1!$J:$J,0))</f>
        <v>1104858</v>
      </c>
      <c r="G318">
        <f>_xlfn.ISOWEEKNUM(Таблица2_2[[#This Row],[Дата]])</f>
        <v>21</v>
      </c>
      <c r="H318">
        <f>Таблица2_2[[#This Row],[Товарооборот, руб]]/Таблица2_2[[#This Row],[Количество складов]]</f>
        <v>73657.2</v>
      </c>
      <c r="I318" t="str">
        <f>--Таблица2_2[[#This Row],[Дата]]&amp;Таблица2_2[[#This Row],[Территория]]</f>
        <v>43971Ростов-на-Дону</v>
      </c>
    </row>
    <row r="319" spans="1:9" x14ac:dyDescent="0.25">
      <c r="A319" s="12">
        <v>43971</v>
      </c>
      <c r="B319" s="13" t="s">
        <v>15</v>
      </c>
      <c r="C319">
        <v>125</v>
      </c>
      <c r="D319">
        <v>21674</v>
      </c>
      <c r="E319">
        <v>20155</v>
      </c>
      <c r="F319" s="14">
        <f>INDEX(Лист1!$D:$D,MATCH(I319,Лист1!$J:$J,0))</f>
        <v>39639309</v>
      </c>
      <c r="G319">
        <f>_xlfn.ISOWEEKNUM(Таблица2_2[[#This Row],[Дата]])</f>
        <v>21</v>
      </c>
      <c r="H319">
        <f>Таблица2_2[[#This Row],[Товарооборот, руб]]/Таблица2_2[[#This Row],[Количество складов]]</f>
        <v>317114.47200000001</v>
      </c>
      <c r="I319" t="str">
        <f>--Таблица2_2[[#This Row],[Дата]]&amp;Таблица2_2[[#This Row],[Территория]]</f>
        <v>43971Санкт-Петербург Север</v>
      </c>
    </row>
    <row r="320" spans="1:9" x14ac:dyDescent="0.25">
      <c r="A320" s="12">
        <v>43971</v>
      </c>
      <c r="B320" s="13" t="s">
        <v>14</v>
      </c>
      <c r="C320">
        <v>129</v>
      </c>
      <c r="D320">
        <v>17095</v>
      </c>
      <c r="E320">
        <v>15919</v>
      </c>
      <c r="F320" s="14">
        <f>INDEX(Лист1!$D:$D,MATCH(I320,Лист1!$J:$J,0))</f>
        <v>29368771.617449999</v>
      </c>
      <c r="G320">
        <f>_xlfn.ISOWEEKNUM(Таблица2_2[[#This Row],[Дата]])</f>
        <v>21</v>
      </c>
      <c r="H320">
        <f>Таблица2_2[[#This Row],[Товарооборот, руб]]/Таблица2_2[[#This Row],[Количество складов]]</f>
        <v>227664.8962593023</v>
      </c>
      <c r="I320" t="str">
        <f>--Таблица2_2[[#This Row],[Дата]]&amp;Таблица2_2[[#This Row],[Территория]]</f>
        <v>43971Санкт-Петербург Юг</v>
      </c>
    </row>
    <row r="321" spans="1:9" x14ac:dyDescent="0.25">
      <c r="A321" s="12">
        <v>43971</v>
      </c>
      <c r="B321" s="13" t="s">
        <v>12</v>
      </c>
      <c r="C321">
        <v>10</v>
      </c>
      <c r="D321">
        <v>745</v>
      </c>
      <c r="E321">
        <v>654</v>
      </c>
      <c r="F321" s="14">
        <f>INDEX(Лист1!$D:$D,MATCH(I321,Лист1!$J:$J,0))</f>
        <v>1037247</v>
      </c>
      <c r="G321">
        <f>_xlfn.ISOWEEKNUM(Таблица2_2[[#This Row],[Дата]])</f>
        <v>21</v>
      </c>
      <c r="H321">
        <f>Таблица2_2[[#This Row],[Товарооборот, руб]]/Таблица2_2[[#This Row],[Количество складов]]</f>
        <v>103724.7</v>
      </c>
      <c r="I321" t="str">
        <f>--Таблица2_2[[#This Row],[Дата]]&amp;Таблица2_2[[#This Row],[Территория]]</f>
        <v>43971Тольятти</v>
      </c>
    </row>
    <row r="322" spans="1:9" x14ac:dyDescent="0.25">
      <c r="A322" s="12">
        <v>43972</v>
      </c>
      <c r="B322" s="13" t="s">
        <v>16</v>
      </c>
      <c r="C322">
        <v>36</v>
      </c>
      <c r="D322">
        <v>4816</v>
      </c>
      <c r="E322">
        <v>4452</v>
      </c>
      <c r="F322" s="14">
        <f>INDEX(Лист1!$D:$D,MATCH(I322,Лист1!$J:$J,0))</f>
        <v>5864085</v>
      </c>
      <c r="G322">
        <f>_xlfn.ISOWEEKNUM(Таблица2_2[[#This Row],[Дата]])</f>
        <v>21</v>
      </c>
      <c r="H322">
        <f>Таблица2_2[[#This Row],[Товарооборот, руб]]/Таблица2_2[[#This Row],[Количество складов]]</f>
        <v>162891.25</v>
      </c>
      <c r="I322" t="str">
        <f>--Таблица2_2[[#This Row],[Дата]]&amp;Таблица2_2[[#This Row],[Территория]]</f>
        <v>43972Волгоград</v>
      </c>
    </row>
    <row r="323" spans="1:9" x14ac:dyDescent="0.25">
      <c r="A323" s="12">
        <v>43972</v>
      </c>
      <c r="B323" s="13" t="s">
        <v>11</v>
      </c>
      <c r="C323">
        <v>31</v>
      </c>
      <c r="D323">
        <v>5207</v>
      </c>
      <c r="E323">
        <v>4868</v>
      </c>
      <c r="F323" s="14">
        <f>INDEX(Лист1!$D:$D,MATCH(I323,Лист1!$J:$J,0))</f>
        <v>6633847.5</v>
      </c>
      <c r="G323">
        <f>_xlfn.ISOWEEKNUM(Таблица2_2[[#This Row],[Дата]])</f>
        <v>21</v>
      </c>
      <c r="H323">
        <f>Таблица2_2[[#This Row],[Товарооборот, руб]]/Таблица2_2[[#This Row],[Количество складов]]</f>
        <v>213995.0806451613</v>
      </c>
      <c r="I323" t="str">
        <f>--Таблица2_2[[#This Row],[Дата]]&amp;Таблица2_2[[#This Row],[Территория]]</f>
        <v>43972Екатеринбург</v>
      </c>
    </row>
    <row r="324" spans="1:9" x14ac:dyDescent="0.25">
      <c r="A324" s="12">
        <v>43972</v>
      </c>
      <c r="B324" s="13" t="s">
        <v>17</v>
      </c>
      <c r="C324">
        <v>21</v>
      </c>
      <c r="D324">
        <v>2335</v>
      </c>
      <c r="E324">
        <v>2126</v>
      </c>
      <c r="F324" s="14">
        <f>INDEX(Лист1!$D:$D,MATCH(I324,Лист1!$J:$J,0))</f>
        <v>3810394.5</v>
      </c>
      <c r="G324">
        <f>_xlfn.ISOWEEKNUM(Таблица2_2[[#This Row],[Дата]])</f>
        <v>21</v>
      </c>
      <c r="H324">
        <f>Таблица2_2[[#This Row],[Товарооборот, руб]]/Таблица2_2[[#This Row],[Количество складов]]</f>
        <v>181447.35714285713</v>
      </c>
      <c r="I324" t="str">
        <f>--Таблица2_2[[#This Row],[Дата]]&amp;Таблица2_2[[#This Row],[Территория]]</f>
        <v>43972Казань</v>
      </c>
    </row>
    <row r="325" spans="1:9" x14ac:dyDescent="0.25">
      <c r="A325" s="12">
        <v>43972</v>
      </c>
      <c r="B325" s="13" t="s">
        <v>10</v>
      </c>
      <c r="C325">
        <v>21</v>
      </c>
      <c r="D325">
        <v>1787</v>
      </c>
      <c r="E325">
        <v>1626</v>
      </c>
      <c r="F325" s="14">
        <f>INDEX(Лист1!$D:$D,MATCH(I325,Лист1!$J:$J,0))</f>
        <v>2744382</v>
      </c>
      <c r="G325">
        <f>_xlfn.ISOWEEKNUM(Таблица2_2[[#This Row],[Дата]])</f>
        <v>21</v>
      </c>
      <c r="H325">
        <f>Таблица2_2[[#This Row],[Товарооборот, руб]]/Таблица2_2[[#This Row],[Количество складов]]</f>
        <v>130684.85714285714</v>
      </c>
      <c r="I325" t="str">
        <f>--Таблица2_2[[#This Row],[Дата]]&amp;Таблица2_2[[#This Row],[Территория]]</f>
        <v>43972Кемерово</v>
      </c>
    </row>
    <row r="326" spans="1:9" x14ac:dyDescent="0.25">
      <c r="A326" s="12">
        <v>43972</v>
      </c>
      <c r="B326" s="13" t="s">
        <v>20</v>
      </c>
      <c r="C326">
        <v>19</v>
      </c>
      <c r="D326">
        <v>1650</v>
      </c>
      <c r="E326">
        <v>1505</v>
      </c>
      <c r="F326" s="14">
        <f>INDEX(Лист1!$D:$D,MATCH(I326,Лист1!$J:$J,0))</f>
        <v>2198935.5</v>
      </c>
      <c r="G326">
        <f>_xlfn.ISOWEEKNUM(Таблица2_2[[#This Row],[Дата]])</f>
        <v>21</v>
      </c>
      <c r="H326">
        <f>Таблица2_2[[#This Row],[Товарооборот, руб]]/Таблица2_2[[#This Row],[Количество складов]]</f>
        <v>115733.44736842105</v>
      </c>
      <c r="I326" t="str">
        <f>--Таблица2_2[[#This Row],[Дата]]&amp;Таблица2_2[[#This Row],[Территория]]</f>
        <v>43972Краснодар</v>
      </c>
    </row>
    <row r="327" spans="1:9" x14ac:dyDescent="0.25">
      <c r="A327" s="12">
        <v>43972</v>
      </c>
      <c r="B327" s="13" t="s">
        <v>22</v>
      </c>
      <c r="C327">
        <v>54</v>
      </c>
      <c r="D327">
        <v>13240</v>
      </c>
      <c r="E327">
        <v>12360</v>
      </c>
      <c r="F327" s="14">
        <f>INDEX(Лист1!$D:$D,MATCH(I327,Лист1!$J:$J,0))</f>
        <v>21042673.5</v>
      </c>
      <c r="G327">
        <f>_xlfn.ISOWEEKNUM(Таблица2_2[[#This Row],[Дата]])</f>
        <v>21</v>
      </c>
      <c r="H327">
        <f>Таблица2_2[[#This Row],[Товарооборот, руб]]/Таблица2_2[[#This Row],[Количество складов]]</f>
        <v>389679.13888888888</v>
      </c>
      <c r="I327" t="str">
        <f>--Таблица2_2[[#This Row],[Дата]]&amp;Таблица2_2[[#This Row],[Территория]]</f>
        <v>43972Москва Восток</v>
      </c>
    </row>
    <row r="328" spans="1:9" x14ac:dyDescent="0.25">
      <c r="A328" s="12">
        <v>43972</v>
      </c>
      <c r="B328" s="13" t="s">
        <v>21</v>
      </c>
      <c r="C328">
        <v>60</v>
      </c>
      <c r="D328">
        <v>14005</v>
      </c>
      <c r="E328">
        <v>13002</v>
      </c>
      <c r="F328" s="14">
        <f>INDEX(Лист1!$D:$D,MATCH(I328,Лист1!$J:$J,0))</f>
        <v>22253295</v>
      </c>
      <c r="G328">
        <f>_xlfn.ISOWEEKNUM(Таблица2_2[[#This Row],[Дата]])</f>
        <v>21</v>
      </c>
      <c r="H328">
        <f>Таблица2_2[[#This Row],[Товарооборот, руб]]/Таблица2_2[[#This Row],[Количество складов]]</f>
        <v>370888.25</v>
      </c>
      <c r="I328" t="str">
        <f>--Таблица2_2[[#This Row],[Дата]]&amp;Таблица2_2[[#This Row],[Территория]]</f>
        <v>43972Москва Запад</v>
      </c>
    </row>
    <row r="329" spans="1:9" x14ac:dyDescent="0.25">
      <c r="A329" s="12">
        <v>43972</v>
      </c>
      <c r="B329" s="13" t="s">
        <v>13</v>
      </c>
      <c r="C329">
        <v>19</v>
      </c>
      <c r="D329">
        <v>1949</v>
      </c>
      <c r="E329">
        <v>1724</v>
      </c>
      <c r="F329" s="14">
        <f>INDEX(Лист1!$D:$D,MATCH(I329,Лист1!$J:$J,0))</f>
        <v>2853181.5</v>
      </c>
      <c r="G329">
        <f>_xlfn.ISOWEEKNUM(Таблица2_2[[#This Row],[Дата]])</f>
        <v>21</v>
      </c>
      <c r="H329">
        <f>Таблица2_2[[#This Row],[Товарооборот, руб]]/Таблица2_2[[#This Row],[Количество складов]]</f>
        <v>150167.44736842104</v>
      </c>
      <c r="I329" t="str">
        <f>--Таблица2_2[[#This Row],[Дата]]&amp;Таблица2_2[[#This Row],[Территория]]</f>
        <v>43972Нижний Новгород</v>
      </c>
    </row>
    <row r="330" spans="1:9" x14ac:dyDescent="0.25">
      <c r="A330" s="12">
        <v>43972</v>
      </c>
      <c r="B330" s="13" t="s">
        <v>23</v>
      </c>
      <c r="C330">
        <v>18</v>
      </c>
      <c r="D330">
        <v>888</v>
      </c>
      <c r="E330">
        <v>786</v>
      </c>
      <c r="F330" s="14">
        <f>INDEX(Лист1!$D:$D,MATCH(I330,Лист1!$J:$J,0))</f>
        <v>1172574</v>
      </c>
      <c r="G330">
        <f>_xlfn.ISOWEEKNUM(Таблица2_2[[#This Row],[Дата]])</f>
        <v>21</v>
      </c>
      <c r="H330">
        <f>Таблица2_2[[#This Row],[Товарооборот, руб]]/Таблица2_2[[#This Row],[Количество складов]]</f>
        <v>65143</v>
      </c>
      <c r="I330" t="str">
        <f>--Таблица2_2[[#This Row],[Дата]]&amp;Таблица2_2[[#This Row],[Территория]]</f>
        <v>43972Новосибирск</v>
      </c>
    </row>
    <row r="331" spans="1:9" x14ac:dyDescent="0.25">
      <c r="A331" s="12">
        <v>43972</v>
      </c>
      <c r="B331" s="13" t="s">
        <v>18</v>
      </c>
      <c r="C331">
        <v>17</v>
      </c>
      <c r="D331">
        <v>1045</v>
      </c>
      <c r="E331">
        <v>930</v>
      </c>
      <c r="F331" s="14">
        <f>INDEX(Лист1!$D:$D,MATCH(I331,Лист1!$J:$J,0))</f>
        <v>1380751.5</v>
      </c>
      <c r="G331">
        <f>_xlfn.ISOWEEKNUM(Таблица2_2[[#This Row],[Дата]])</f>
        <v>21</v>
      </c>
      <c r="H331">
        <f>Таблица2_2[[#This Row],[Товарооборот, руб]]/Таблица2_2[[#This Row],[Количество складов]]</f>
        <v>81220.676470588238</v>
      </c>
      <c r="I331" t="str">
        <f>--Таблица2_2[[#This Row],[Дата]]&amp;Таблица2_2[[#This Row],[Территория]]</f>
        <v>43972Пермь</v>
      </c>
    </row>
    <row r="332" spans="1:9" x14ac:dyDescent="0.25">
      <c r="A332" s="12">
        <v>43972</v>
      </c>
      <c r="B332" s="13" t="s">
        <v>19</v>
      </c>
      <c r="C332">
        <v>15</v>
      </c>
      <c r="D332">
        <v>749</v>
      </c>
      <c r="E332">
        <v>652</v>
      </c>
      <c r="F332" s="14">
        <f>INDEX(Лист1!$D:$D,MATCH(I332,Лист1!$J:$J,0))</f>
        <v>1103623.5</v>
      </c>
      <c r="G332">
        <f>_xlfn.ISOWEEKNUM(Таблица2_2[[#This Row],[Дата]])</f>
        <v>21</v>
      </c>
      <c r="H332">
        <f>Таблица2_2[[#This Row],[Товарооборот, руб]]/Таблица2_2[[#This Row],[Количество складов]]</f>
        <v>73574.899999999994</v>
      </c>
      <c r="I332" t="str">
        <f>--Таблица2_2[[#This Row],[Дата]]&amp;Таблица2_2[[#This Row],[Территория]]</f>
        <v>43972Ростов-на-Дону</v>
      </c>
    </row>
    <row r="333" spans="1:9" x14ac:dyDescent="0.25">
      <c r="A333" s="12">
        <v>43972</v>
      </c>
      <c r="B333" s="13" t="s">
        <v>15</v>
      </c>
      <c r="C333">
        <v>125</v>
      </c>
      <c r="D333">
        <v>20911</v>
      </c>
      <c r="E333">
        <v>19358</v>
      </c>
      <c r="F333" s="14">
        <f>INDEX(Лист1!$D:$D,MATCH(I333,Лист1!$J:$J,0))</f>
        <v>37902156.57</v>
      </c>
      <c r="G333">
        <f>_xlfn.ISOWEEKNUM(Таблица2_2[[#This Row],[Дата]])</f>
        <v>21</v>
      </c>
      <c r="H333">
        <f>Таблица2_2[[#This Row],[Товарооборот, руб]]/Таблица2_2[[#This Row],[Количество складов]]</f>
        <v>303217.25255999999</v>
      </c>
      <c r="I333" t="str">
        <f>--Таблица2_2[[#This Row],[Дата]]&amp;Таблица2_2[[#This Row],[Территория]]</f>
        <v>43972Санкт-Петербург Север</v>
      </c>
    </row>
    <row r="334" spans="1:9" x14ac:dyDescent="0.25">
      <c r="A334" s="12">
        <v>43972</v>
      </c>
      <c r="B334" s="13" t="s">
        <v>14</v>
      </c>
      <c r="C334">
        <v>129</v>
      </c>
      <c r="D334">
        <v>16373</v>
      </c>
      <c r="E334">
        <v>15223</v>
      </c>
      <c r="F334" s="14">
        <f>INDEX(Лист1!$D:$D,MATCH(I334,Лист1!$J:$J,0))</f>
        <v>27852900</v>
      </c>
      <c r="G334">
        <f>_xlfn.ISOWEEKNUM(Таблица2_2[[#This Row],[Дата]])</f>
        <v>21</v>
      </c>
      <c r="H334">
        <f>Таблица2_2[[#This Row],[Товарооборот, руб]]/Таблица2_2[[#This Row],[Количество складов]]</f>
        <v>215913.95348837209</v>
      </c>
      <c r="I334" t="str">
        <f>--Таблица2_2[[#This Row],[Дата]]&amp;Таблица2_2[[#This Row],[Территория]]</f>
        <v>43972Санкт-Петербург Юг</v>
      </c>
    </row>
    <row r="335" spans="1:9" x14ac:dyDescent="0.25">
      <c r="A335" s="12">
        <v>43972</v>
      </c>
      <c r="B335" s="13" t="s">
        <v>12</v>
      </c>
      <c r="C335">
        <v>10</v>
      </c>
      <c r="D335">
        <v>677</v>
      </c>
      <c r="E335">
        <v>591</v>
      </c>
      <c r="F335" s="14">
        <f>INDEX(Лист1!$D:$D,MATCH(I335,Лист1!$J:$J,0))</f>
        <v>935523</v>
      </c>
      <c r="G335">
        <f>_xlfn.ISOWEEKNUM(Таблица2_2[[#This Row],[Дата]])</f>
        <v>21</v>
      </c>
      <c r="H335">
        <f>Таблица2_2[[#This Row],[Товарооборот, руб]]/Таблица2_2[[#This Row],[Количество складов]]</f>
        <v>93552.3</v>
      </c>
      <c r="I335" t="str">
        <f>--Таблица2_2[[#This Row],[Дата]]&amp;Таблица2_2[[#This Row],[Территория]]</f>
        <v>43972Тольятти</v>
      </c>
    </row>
    <row r="336" spans="1:9" x14ac:dyDescent="0.25">
      <c r="A336" s="12">
        <v>43973</v>
      </c>
      <c r="B336" s="13" t="s">
        <v>16</v>
      </c>
      <c r="C336">
        <v>36</v>
      </c>
      <c r="D336">
        <v>4857</v>
      </c>
      <c r="E336">
        <v>4456</v>
      </c>
      <c r="F336" s="14">
        <f>INDEX(Лист1!$D:$D,MATCH(I336,Лист1!$J:$J,0))</f>
        <v>5943489</v>
      </c>
      <c r="G336">
        <f>_xlfn.ISOWEEKNUM(Таблица2_2[[#This Row],[Дата]])</f>
        <v>21</v>
      </c>
      <c r="H336">
        <f>Таблица2_2[[#This Row],[Товарооборот, руб]]/Таблица2_2[[#This Row],[Количество складов]]</f>
        <v>165096.91666666666</v>
      </c>
      <c r="I336" t="str">
        <f>--Таблица2_2[[#This Row],[Дата]]&amp;Таблица2_2[[#This Row],[Территория]]</f>
        <v>43973Волгоград</v>
      </c>
    </row>
    <row r="337" spans="1:9" x14ac:dyDescent="0.25">
      <c r="A337" s="12">
        <v>43973</v>
      </c>
      <c r="B337" s="13" t="s">
        <v>11</v>
      </c>
      <c r="C337">
        <v>31</v>
      </c>
      <c r="D337">
        <v>5965</v>
      </c>
      <c r="E337">
        <v>5533</v>
      </c>
      <c r="F337" s="14">
        <f>INDEX(Лист1!$D:$D,MATCH(I337,Лист1!$J:$J,0))</f>
        <v>7728465</v>
      </c>
      <c r="G337">
        <f>_xlfn.ISOWEEKNUM(Таблица2_2[[#This Row],[Дата]])</f>
        <v>21</v>
      </c>
      <c r="H337">
        <f>Таблица2_2[[#This Row],[Товарооборот, руб]]/Таблица2_2[[#This Row],[Количество складов]]</f>
        <v>249305.32258064515</v>
      </c>
      <c r="I337" t="str">
        <f>--Таблица2_2[[#This Row],[Дата]]&amp;Таблица2_2[[#This Row],[Территория]]</f>
        <v>43973Екатеринбург</v>
      </c>
    </row>
    <row r="338" spans="1:9" x14ac:dyDescent="0.25">
      <c r="A338" s="12">
        <v>43973</v>
      </c>
      <c r="B338" s="13" t="s">
        <v>17</v>
      </c>
      <c r="C338">
        <v>21</v>
      </c>
      <c r="D338">
        <v>2861</v>
      </c>
      <c r="E338">
        <v>2612</v>
      </c>
      <c r="F338" s="14">
        <f>INDEX(Лист1!$D:$D,MATCH(I338,Лист1!$J:$J,0))</f>
        <v>4840833</v>
      </c>
      <c r="G338">
        <f>_xlfn.ISOWEEKNUM(Таблица2_2[[#This Row],[Дата]])</f>
        <v>21</v>
      </c>
      <c r="H338">
        <f>Таблица2_2[[#This Row],[Товарооборот, руб]]/Таблица2_2[[#This Row],[Количество складов]]</f>
        <v>230515.85714285713</v>
      </c>
      <c r="I338" t="str">
        <f>--Таблица2_2[[#This Row],[Дата]]&amp;Таблица2_2[[#This Row],[Территория]]</f>
        <v>43973Казань</v>
      </c>
    </row>
    <row r="339" spans="1:9" x14ac:dyDescent="0.25">
      <c r="A339" s="12">
        <v>43973</v>
      </c>
      <c r="B339" s="13" t="s">
        <v>10</v>
      </c>
      <c r="C339">
        <v>21</v>
      </c>
      <c r="D339">
        <v>2046</v>
      </c>
      <c r="E339">
        <v>1853</v>
      </c>
      <c r="F339" s="14">
        <f>INDEX(Лист1!$D:$D,MATCH(I339,Лист1!$J:$J,0))</f>
        <v>3091069.5</v>
      </c>
      <c r="G339">
        <f>_xlfn.ISOWEEKNUM(Таблица2_2[[#This Row],[Дата]])</f>
        <v>21</v>
      </c>
      <c r="H339">
        <f>Таблица2_2[[#This Row],[Товарооборот, руб]]/Таблица2_2[[#This Row],[Количество складов]]</f>
        <v>147193.78571428571</v>
      </c>
      <c r="I339" t="str">
        <f>--Таблица2_2[[#This Row],[Дата]]&amp;Таблица2_2[[#This Row],[Территория]]</f>
        <v>43973Кемерово</v>
      </c>
    </row>
    <row r="340" spans="1:9" x14ac:dyDescent="0.25">
      <c r="A340" s="12">
        <v>43973</v>
      </c>
      <c r="B340" s="13" t="s">
        <v>20</v>
      </c>
      <c r="C340">
        <v>19</v>
      </c>
      <c r="D340">
        <v>1859</v>
      </c>
      <c r="E340">
        <v>1697</v>
      </c>
      <c r="F340" s="14">
        <f>INDEX(Лист1!$D:$D,MATCH(I340,Лист1!$J:$J,0))</f>
        <v>2540715</v>
      </c>
      <c r="G340">
        <f>_xlfn.ISOWEEKNUM(Таблица2_2[[#This Row],[Дата]])</f>
        <v>21</v>
      </c>
      <c r="H340">
        <f>Таблица2_2[[#This Row],[Товарооборот, руб]]/Таблица2_2[[#This Row],[Количество складов]]</f>
        <v>133721.84210526315</v>
      </c>
      <c r="I340" t="str">
        <f>--Таблица2_2[[#This Row],[Дата]]&amp;Таблица2_2[[#This Row],[Территория]]</f>
        <v>43973Краснодар</v>
      </c>
    </row>
    <row r="341" spans="1:9" x14ac:dyDescent="0.25">
      <c r="A341" s="12">
        <v>43973</v>
      </c>
      <c r="B341" s="13" t="s">
        <v>22</v>
      </c>
      <c r="C341">
        <v>54</v>
      </c>
      <c r="D341">
        <v>13014</v>
      </c>
      <c r="E341">
        <v>12095</v>
      </c>
      <c r="F341" s="14">
        <f>INDEX(Лист1!$D:$D,MATCH(I341,Лист1!$J:$J,0))</f>
        <v>20812585.5</v>
      </c>
      <c r="G341">
        <f>_xlfn.ISOWEEKNUM(Таблица2_2[[#This Row],[Дата]])</f>
        <v>21</v>
      </c>
      <c r="H341">
        <f>Таблица2_2[[#This Row],[Товарооборот, руб]]/Таблица2_2[[#This Row],[Количество складов]]</f>
        <v>385418.25</v>
      </c>
      <c r="I341" t="str">
        <f>--Таблица2_2[[#This Row],[Дата]]&amp;Таблица2_2[[#This Row],[Территория]]</f>
        <v>43973Москва Восток</v>
      </c>
    </row>
    <row r="342" spans="1:9" x14ac:dyDescent="0.25">
      <c r="A342" s="12">
        <v>43973</v>
      </c>
      <c r="B342" s="13" t="s">
        <v>21</v>
      </c>
      <c r="C342">
        <v>60</v>
      </c>
      <c r="D342">
        <v>14050</v>
      </c>
      <c r="E342">
        <v>13027</v>
      </c>
      <c r="F342" s="14">
        <f>INDEX(Лист1!$D:$D,MATCH(I342,Лист1!$J:$J,0))</f>
        <v>22380772.5</v>
      </c>
      <c r="G342">
        <f>_xlfn.ISOWEEKNUM(Таблица2_2[[#This Row],[Дата]])</f>
        <v>21</v>
      </c>
      <c r="H342">
        <f>Таблица2_2[[#This Row],[Товарооборот, руб]]/Таблица2_2[[#This Row],[Количество складов]]</f>
        <v>373012.875</v>
      </c>
      <c r="I342" t="str">
        <f>--Таблица2_2[[#This Row],[Дата]]&amp;Таблица2_2[[#This Row],[Территория]]</f>
        <v>43973Москва Запад</v>
      </c>
    </row>
    <row r="343" spans="1:9" x14ac:dyDescent="0.25">
      <c r="A343" s="12">
        <v>43973</v>
      </c>
      <c r="B343" s="13" t="s">
        <v>13</v>
      </c>
      <c r="C343">
        <v>20</v>
      </c>
      <c r="D343">
        <v>2306</v>
      </c>
      <c r="E343">
        <v>2054</v>
      </c>
      <c r="F343" s="14">
        <f>INDEX(Лист1!$D:$D,MATCH(I343,Лист1!$J:$J,0))</f>
        <v>3414180</v>
      </c>
      <c r="G343">
        <f>_xlfn.ISOWEEKNUM(Таблица2_2[[#This Row],[Дата]])</f>
        <v>21</v>
      </c>
      <c r="H343">
        <f>Таблица2_2[[#This Row],[Товарооборот, руб]]/Таблица2_2[[#This Row],[Количество складов]]</f>
        <v>170709</v>
      </c>
      <c r="I343" t="str">
        <f>--Таблица2_2[[#This Row],[Дата]]&amp;Таблица2_2[[#This Row],[Территория]]</f>
        <v>43973Нижний Новгород</v>
      </c>
    </row>
    <row r="344" spans="1:9" x14ac:dyDescent="0.25">
      <c r="A344" s="12">
        <v>43973</v>
      </c>
      <c r="B344" s="13" t="s">
        <v>23</v>
      </c>
      <c r="C344">
        <v>18</v>
      </c>
      <c r="D344">
        <v>985</v>
      </c>
      <c r="E344">
        <v>861</v>
      </c>
      <c r="F344" s="14">
        <f>INDEX(Лист1!$D:$D,MATCH(I344,Лист1!$J:$J,0))</f>
        <v>1398771</v>
      </c>
      <c r="G344">
        <f>_xlfn.ISOWEEKNUM(Таблица2_2[[#This Row],[Дата]])</f>
        <v>21</v>
      </c>
      <c r="H344">
        <f>Таблица2_2[[#This Row],[Товарооборот, руб]]/Таблица2_2[[#This Row],[Количество складов]]</f>
        <v>77709.5</v>
      </c>
      <c r="I344" t="str">
        <f>--Таблица2_2[[#This Row],[Дата]]&amp;Таблица2_2[[#This Row],[Территория]]</f>
        <v>43973Новосибирск</v>
      </c>
    </row>
    <row r="345" spans="1:9" x14ac:dyDescent="0.25">
      <c r="A345" s="12">
        <v>43973</v>
      </c>
      <c r="B345" s="13" t="s">
        <v>18</v>
      </c>
      <c r="C345">
        <v>17</v>
      </c>
      <c r="D345">
        <v>1268</v>
      </c>
      <c r="E345">
        <v>1129</v>
      </c>
      <c r="F345" s="14">
        <f>INDEX(Лист1!$D:$D,MATCH(I345,Лист1!$J:$J,0))</f>
        <v>1774329</v>
      </c>
      <c r="G345">
        <f>_xlfn.ISOWEEKNUM(Таблица2_2[[#This Row],[Дата]])</f>
        <v>21</v>
      </c>
      <c r="H345">
        <f>Таблица2_2[[#This Row],[Товарооборот, руб]]/Таблица2_2[[#This Row],[Количество складов]]</f>
        <v>104372.29411764706</v>
      </c>
      <c r="I345" t="str">
        <f>--Таблица2_2[[#This Row],[Дата]]&amp;Таблица2_2[[#This Row],[Территория]]</f>
        <v>43973Пермь</v>
      </c>
    </row>
    <row r="346" spans="1:9" x14ac:dyDescent="0.25">
      <c r="A346" s="12">
        <v>43973</v>
      </c>
      <c r="B346" s="13" t="s">
        <v>19</v>
      </c>
      <c r="C346">
        <v>15</v>
      </c>
      <c r="D346">
        <v>903</v>
      </c>
      <c r="E346">
        <v>792</v>
      </c>
      <c r="F346" s="14">
        <f>INDEX(Лист1!$D:$D,MATCH(I346,Лист1!$J:$J,0))</f>
        <v>1411909.5</v>
      </c>
      <c r="G346">
        <f>_xlfn.ISOWEEKNUM(Таблица2_2[[#This Row],[Дата]])</f>
        <v>21</v>
      </c>
      <c r="H346">
        <f>Таблица2_2[[#This Row],[Товарооборот, руб]]/Таблица2_2[[#This Row],[Количество складов]]</f>
        <v>94127.3</v>
      </c>
      <c r="I346" t="str">
        <f>--Таблица2_2[[#This Row],[Дата]]&amp;Таблица2_2[[#This Row],[Территория]]</f>
        <v>43973Ростов-на-Дону</v>
      </c>
    </row>
    <row r="347" spans="1:9" x14ac:dyDescent="0.25">
      <c r="A347" s="12">
        <v>43973</v>
      </c>
      <c r="B347" s="13" t="s">
        <v>15</v>
      </c>
      <c r="C347">
        <v>125</v>
      </c>
      <c r="D347">
        <v>21427</v>
      </c>
      <c r="E347">
        <v>19799</v>
      </c>
      <c r="F347" s="14">
        <f>INDEX(Лист1!$D:$D,MATCH(I347,Лист1!$J:$J,0))</f>
        <v>39498373.5</v>
      </c>
      <c r="G347">
        <f>_xlfn.ISOWEEKNUM(Таблица2_2[[#This Row],[Дата]])</f>
        <v>21</v>
      </c>
      <c r="H347">
        <f>Таблица2_2[[#This Row],[Товарооборот, руб]]/Таблица2_2[[#This Row],[Количество складов]]</f>
        <v>315986.98800000001</v>
      </c>
      <c r="I347" t="str">
        <f>--Таблица2_2[[#This Row],[Дата]]&amp;Таблица2_2[[#This Row],[Территория]]</f>
        <v>43973Санкт-Петербург Север</v>
      </c>
    </row>
    <row r="348" spans="1:9" x14ac:dyDescent="0.25">
      <c r="A348" s="12">
        <v>43973</v>
      </c>
      <c r="B348" s="13" t="s">
        <v>14</v>
      </c>
      <c r="C348">
        <v>129</v>
      </c>
      <c r="D348">
        <v>17088</v>
      </c>
      <c r="E348">
        <v>15804</v>
      </c>
      <c r="F348" s="14">
        <f>INDEX(Лист1!$D:$D,MATCH(I348,Лист1!$J:$J,0))</f>
        <v>29465769</v>
      </c>
      <c r="G348">
        <f>_xlfn.ISOWEEKNUM(Таблица2_2[[#This Row],[Дата]])</f>
        <v>21</v>
      </c>
      <c r="H348">
        <f>Таблица2_2[[#This Row],[Товарооборот, руб]]/Таблица2_2[[#This Row],[Количество складов]]</f>
        <v>228416.81395348837</v>
      </c>
      <c r="I348" t="str">
        <f>--Таблица2_2[[#This Row],[Дата]]&amp;Таблица2_2[[#This Row],[Территория]]</f>
        <v>43973Санкт-Петербург Юг</v>
      </c>
    </row>
    <row r="349" spans="1:9" x14ac:dyDescent="0.25">
      <c r="A349" s="12">
        <v>43973</v>
      </c>
      <c r="B349" s="13" t="s">
        <v>12</v>
      </c>
      <c r="C349">
        <v>10</v>
      </c>
      <c r="D349">
        <v>965</v>
      </c>
      <c r="E349">
        <v>861</v>
      </c>
      <c r="F349" s="14">
        <f>INDEX(Лист1!$D:$D,MATCH(I349,Лист1!$J:$J,0))</f>
        <v>1455049.5</v>
      </c>
      <c r="G349">
        <f>_xlfn.ISOWEEKNUM(Таблица2_2[[#This Row],[Дата]])</f>
        <v>21</v>
      </c>
      <c r="H349">
        <f>Таблица2_2[[#This Row],[Товарооборот, руб]]/Таблица2_2[[#This Row],[Количество складов]]</f>
        <v>145504.95000000001</v>
      </c>
      <c r="I349" t="str">
        <f>--Таблица2_2[[#This Row],[Дата]]&amp;Таблица2_2[[#This Row],[Территория]]</f>
        <v>43973Тольятти</v>
      </c>
    </row>
    <row r="350" spans="1:9" x14ac:dyDescent="0.25">
      <c r="A350" s="12">
        <v>43974</v>
      </c>
      <c r="B350" s="13" t="s">
        <v>16</v>
      </c>
      <c r="C350">
        <v>36</v>
      </c>
      <c r="D350">
        <v>5651</v>
      </c>
      <c r="E350">
        <v>5212</v>
      </c>
      <c r="F350" s="14">
        <f>INDEX(Лист1!$D:$D,MATCH(I350,Лист1!$J:$J,0))</f>
        <v>7173117</v>
      </c>
      <c r="G350">
        <f>_xlfn.ISOWEEKNUM(Таблица2_2[[#This Row],[Дата]])</f>
        <v>21</v>
      </c>
      <c r="H350">
        <f>Таблица2_2[[#This Row],[Товарооборот, руб]]/Таблица2_2[[#This Row],[Количество складов]]</f>
        <v>199253.25</v>
      </c>
      <c r="I350" t="str">
        <f>--Таблица2_2[[#This Row],[Дата]]&amp;Таблица2_2[[#This Row],[Территория]]</f>
        <v>43974Волгоград</v>
      </c>
    </row>
    <row r="351" spans="1:9" x14ac:dyDescent="0.25">
      <c r="A351" s="12">
        <v>43974</v>
      </c>
      <c r="B351" s="13" t="s">
        <v>11</v>
      </c>
      <c r="C351">
        <v>31</v>
      </c>
      <c r="D351">
        <v>6276</v>
      </c>
      <c r="E351">
        <v>5801</v>
      </c>
      <c r="F351" s="14">
        <f>INDEX(Лист1!$D:$D,MATCH(I351,Лист1!$J:$J,0))</f>
        <v>8089143</v>
      </c>
      <c r="G351">
        <f>_xlfn.ISOWEEKNUM(Таблица2_2[[#This Row],[Дата]])</f>
        <v>21</v>
      </c>
      <c r="H351">
        <f>Таблица2_2[[#This Row],[Товарооборот, руб]]/Таблица2_2[[#This Row],[Количество складов]]</f>
        <v>260940.09677419355</v>
      </c>
      <c r="I351" t="str">
        <f>--Таблица2_2[[#This Row],[Дата]]&amp;Таблица2_2[[#This Row],[Территория]]</f>
        <v>43974Екатеринбург</v>
      </c>
    </row>
    <row r="352" spans="1:9" x14ac:dyDescent="0.25">
      <c r="A352" s="12">
        <v>43974</v>
      </c>
      <c r="B352" s="13" t="s">
        <v>17</v>
      </c>
      <c r="C352">
        <v>21</v>
      </c>
      <c r="D352">
        <v>2460</v>
      </c>
      <c r="E352">
        <v>2226</v>
      </c>
      <c r="F352" s="14">
        <f>INDEX(Лист1!$D:$D,MATCH(I352,Лист1!$J:$J,0))</f>
        <v>3883215</v>
      </c>
      <c r="G352">
        <f>_xlfn.ISOWEEKNUM(Таблица2_2[[#This Row],[Дата]])</f>
        <v>21</v>
      </c>
      <c r="H352">
        <f>Таблица2_2[[#This Row],[Товарооборот, руб]]/Таблица2_2[[#This Row],[Количество складов]]</f>
        <v>184915</v>
      </c>
      <c r="I352" t="str">
        <f>--Таблица2_2[[#This Row],[Дата]]&amp;Таблица2_2[[#This Row],[Территория]]</f>
        <v>43974Казань</v>
      </c>
    </row>
    <row r="353" spans="1:9" x14ac:dyDescent="0.25">
      <c r="A353" s="12">
        <v>43974</v>
      </c>
      <c r="B353" s="13" t="s">
        <v>10</v>
      </c>
      <c r="C353">
        <v>21</v>
      </c>
      <c r="D353">
        <v>2340</v>
      </c>
      <c r="E353">
        <v>2146</v>
      </c>
      <c r="F353" s="14">
        <f>INDEX(Лист1!$D:$D,MATCH(I353,Лист1!$J:$J,0))</f>
        <v>3628726.5</v>
      </c>
      <c r="G353">
        <f>_xlfn.ISOWEEKNUM(Таблица2_2[[#This Row],[Дата]])</f>
        <v>21</v>
      </c>
      <c r="H353">
        <f>Таблица2_2[[#This Row],[Товарооборот, руб]]/Таблица2_2[[#This Row],[Количество складов]]</f>
        <v>172796.5</v>
      </c>
      <c r="I353" t="str">
        <f>--Таблица2_2[[#This Row],[Дата]]&amp;Таблица2_2[[#This Row],[Территория]]</f>
        <v>43974Кемерово</v>
      </c>
    </row>
    <row r="354" spans="1:9" x14ac:dyDescent="0.25">
      <c r="A354" s="12">
        <v>43974</v>
      </c>
      <c r="B354" s="13" t="s">
        <v>20</v>
      </c>
      <c r="C354">
        <v>19</v>
      </c>
      <c r="D354">
        <v>2195</v>
      </c>
      <c r="E354">
        <v>1999</v>
      </c>
      <c r="F354" s="14">
        <f>INDEX(Лист1!$D:$D,MATCH(I354,Лист1!$J:$J,0))</f>
        <v>3089140.5</v>
      </c>
      <c r="G354">
        <f>_xlfn.ISOWEEKNUM(Таблица2_2[[#This Row],[Дата]])</f>
        <v>21</v>
      </c>
      <c r="H354">
        <f>Таблица2_2[[#This Row],[Товарооборот, руб]]/Таблица2_2[[#This Row],[Количество складов]]</f>
        <v>162586.34210526315</v>
      </c>
      <c r="I354" t="str">
        <f>--Таблица2_2[[#This Row],[Дата]]&amp;Таблица2_2[[#This Row],[Территория]]</f>
        <v>43974Краснодар</v>
      </c>
    </row>
    <row r="355" spans="1:9" x14ac:dyDescent="0.25">
      <c r="A355" s="12">
        <v>43974</v>
      </c>
      <c r="B355" s="13" t="s">
        <v>22</v>
      </c>
      <c r="C355">
        <v>54</v>
      </c>
      <c r="D355">
        <v>16221</v>
      </c>
      <c r="E355">
        <v>15065</v>
      </c>
      <c r="F355" s="14">
        <f>INDEX(Лист1!$D:$D,MATCH(I355,Лист1!$J:$J,0))</f>
        <v>26806626</v>
      </c>
      <c r="G355">
        <f>_xlfn.ISOWEEKNUM(Таблица2_2[[#This Row],[Дата]])</f>
        <v>21</v>
      </c>
      <c r="H355">
        <f>Таблица2_2[[#This Row],[Товарооборот, руб]]/Таблица2_2[[#This Row],[Количество складов]]</f>
        <v>496419</v>
      </c>
      <c r="I355" t="str">
        <f>--Таблица2_2[[#This Row],[Дата]]&amp;Таблица2_2[[#This Row],[Территория]]</f>
        <v>43974Москва Восток</v>
      </c>
    </row>
    <row r="356" spans="1:9" x14ac:dyDescent="0.25">
      <c r="A356" s="12">
        <v>43974</v>
      </c>
      <c r="B356" s="13" t="s">
        <v>21</v>
      </c>
      <c r="C356">
        <v>60</v>
      </c>
      <c r="D356">
        <v>17295</v>
      </c>
      <c r="E356">
        <v>16010</v>
      </c>
      <c r="F356" s="14">
        <f>INDEX(Лист1!$D:$D,MATCH(I356,Лист1!$J:$J,0))</f>
        <v>28590910.5</v>
      </c>
      <c r="G356">
        <f>_xlfn.ISOWEEKNUM(Таблица2_2[[#This Row],[Дата]])</f>
        <v>21</v>
      </c>
      <c r="H356">
        <f>Таблица2_2[[#This Row],[Товарооборот, руб]]/Таблица2_2[[#This Row],[Количество складов]]</f>
        <v>476515.17499999999</v>
      </c>
      <c r="I356" t="str">
        <f>--Таблица2_2[[#This Row],[Дата]]&amp;Таблица2_2[[#This Row],[Территория]]</f>
        <v>43974Москва Запад</v>
      </c>
    </row>
    <row r="357" spans="1:9" x14ac:dyDescent="0.25">
      <c r="A357" s="12">
        <v>43974</v>
      </c>
      <c r="B357" s="13" t="s">
        <v>13</v>
      </c>
      <c r="C357">
        <v>20</v>
      </c>
      <c r="D357">
        <v>2266</v>
      </c>
      <c r="E357">
        <v>1993</v>
      </c>
      <c r="F357" s="14">
        <f>INDEX(Лист1!$D:$D,MATCH(I357,Лист1!$J:$J,0))</f>
        <v>3385372.5</v>
      </c>
      <c r="G357">
        <f>_xlfn.ISOWEEKNUM(Таблица2_2[[#This Row],[Дата]])</f>
        <v>21</v>
      </c>
      <c r="H357">
        <f>Таблица2_2[[#This Row],[Товарооборот, руб]]/Таблица2_2[[#This Row],[Количество складов]]</f>
        <v>169268.625</v>
      </c>
      <c r="I357" t="str">
        <f>--Таблица2_2[[#This Row],[Дата]]&amp;Таблица2_2[[#This Row],[Территория]]</f>
        <v>43974Нижний Новгород</v>
      </c>
    </row>
    <row r="358" spans="1:9" x14ac:dyDescent="0.25">
      <c r="A358" s="12">
        <v>43974</v>
      </c>
      <c r="B358" s="13" t="s">
        <v>23</v>
      </c>
      <c r="C358">
        <v>18</v>
      </c>
      <c r="D358">
        <v>1031</v>
      </c>
      <c r="E358">
        <v>918</v>
      </c>
      <c r="F358" s="14">
        <f>INDEX(Лист1!$D:$D,MATCH(I358,Лист1!$J:$J,0))</f>
        <v>1457391</v>
      </c>
      <c r="G358">
        <f>_xlfn.ISOWEEKNUM(Таблица2_2[[#This Row],[Дата]])</f>
        <v>21</v>
      </c>
      <c r="H358">
        <f>Таблица2_2[[#This Row],[Товарооборот, руб]]/Таблица2_2[[#This Row],[Количество складов]]</f>
        <v>80966.166666666672</v>
      </c>
      <c r="I358" t="str">
        <f>--Таблица2_2[[#This Row],[Дата]]&amp;Таблица2_2[[#This Row],[Территория]]</f>
        <v>43974Новосибирск</v>
      </c>
    </row>
    <row r="359" spans="1:9" x14ac:dyDescent="0.25">
      <c r="A359" s="12">
        <v>43974</v>
      </c>
      <c r="B359" s="13" t="s">
        <v>18</v>
      </c>
      <c r="C359">
        <v>17</v>
      </c>
      <c r="D359">
        <v>1294</v>
      </c>
      <c r="E359">
        <v>1155</v>
      </c>
      <c r="F359" s="14">
        <f>INDEX(Лист1!$D:$D,MATCH(I359,Лист1!$J:$J,0))</f>
        <v>1854001.5</v>
      </c>
      <c r="G359">
        <f>_xlfn.ISOWEEKNUM(Таблица2_2[[#This Row],[Дата]])</f>
        <v>21</v>
      </c>
      <c r="H359">
        <f>Таблица2_2[[#This Row],[Товарооборот, руб]]/Таблица2_2[[#This Row],[Количество складов]]</f>
        <v>109058.91176470589</v>
      </c>
      <c r="I359" t="str">
        <f>--Таблица2_2[[#This Row],[Дата]]&amp;Таблица2_2[[#This Row],[Территория]]</f>
        <v>43974Пермь</v>
      </c>
    </row>
    <row r="360" spans="1:9" x14ac:dyDescent="0.25">
      <c r="A360" s="12">
        <v>43974</v>
      </c>
      <c r="B360" s="13" t="s">
        <v>19</v>
      </c>
      <c r="C360">
        <v>15</v>
      </c>
      <c r="D360">
        <v>840</v>
      </c>
      <c r="E360">
        <v>725</v>
      </c>
      <c r="F360" s="14">
        <f>INDEX(Лист1!$D:$D,MATCH(I360,Лист1!$J:$J,0))</f>
        <v>1315075.5</v>
      </c>
      <c r="G360">
        <f>_xlfn.ISOWEEKNUM(Таблица2_2[[#This Row],[Дата]])</f>
        <v>21</v>
      </c>
      <c r="H360">
        <f>Таблица2_2[[#This Row],[Товарооборот, руб]]/Таблица2_2[[#This Row],[Количество складов]]</f>
        <v>87671.7</v>
      </c>
      <c r="I360" t="str">
        <f>--Таблица2_2[[#This Row],[Дата]]&amp;Таблица2_2[[#This Row],[Территория]]</f>
        <v>43974Ростов-на-Дону</v>
      </c>
    </row>
    <row r="361" spans="1:9" x14ac:dyDescent="0.25">
      <c r="A361" s="12">
        <v>43974</v>
      </c>
      <c r="B361" s="13" t="s">
        <v>15</v>
      </c>
      <c r="C361">
        <v>125</v>
      </c>
      <c r="D361">
        <v>24574</v>
      </c>
      <c r="E361">
        <v>22609</v>
      </c>
      <c r="F361" s="14">
        <f>INDEX(Лист1!$D:$D,MATCH(I361,Лист1!$J:$J,0))</f>
        <v>46408080</v>
      </c>
      <c r="G361">
        <f>_xlfn.ISOWEEKNUM(Таблица2_2[[#This Row],[Дата]])</f>
        <v>21</v>
      </c>
      <c r="H361">
        <f>Таблица2_2[[#This Row],[Товарооборот, руб]]/Таблица2_2[[#This Row],[Количество складов]]</f>
        <v>371264.64</v>
      </c>
      <c r="I361" t="str">
        <f>--Таблица2_2[[#This Row],[Дата]]&amp;Таблица2_2[[#This Row],[Территория]]</f>
        <v>43974Санкт-Петербург Север</v>
      </c>
    </row>
    <row r="362" spans="1:9" x14ac:dyDescent="0.25">
      <c r="A362" s="12">
        <v>43974</v>
      </c>
      <c r="B362" s="13" t="s">
        <v>14</v>
      </c>
      <c r="C362">
        <v>129</v>
      </c>
      <c r="D362">
        <v>19856</v>
      </c>
      <c r="E362">
        <v>18325</v>
      </c>
      <c r="F362" s="14">
        <f>INDEX(Лист1!$D:$D,MATCH(I362,Лист1!$J:$J,0))</f>
        <v>35103926.711549997</v>
      </c>
      <c r="G362">
        <f>_xlfn.ISOWEEKNUM(Таблица2_2[[#This Row],[Дата]])</f>
        <v>21</v>
      </c>
      <c r="H362">
        <f>Таблица2_2[[#This Row],[Товарооборот, руб]]/Таблица2_2[[#This Row],[Количество складов]]</f>
        <v>272123.46288023255</v>
      </c>
      <c r="I362" t="str">
        <f>--Таблица2_2[[#This Row],[Дата]]&amp;Таблица2_2[[#This Row],[Территория]]</f>
        <v>43974Санкт-Петербург Юг</v>
      </c>
    </row>
    <row r="363" spans="1:9" x14ac:dyDescent="0.25">
      <c r="A363" s="12">
        <v>43974</v>
      </c>
      <c r="B363" s="13" t="s">
        <v>12</v>
      </c>
      <c r="C363">
        <v>10</v>
      </c>
      <c r="D363">
        <v>828</v>
      </c>
      <c r="E363">
        <v>734</v>
      </c>
      <c r="F363" s="14">
        <f>INDEX(Лист1!$D:$D,MATCH(I363,Лист1!$J:$J,0))</f>
        <v>1241383.5</v>
      </c>
      <c r="G363">
        <f>_xlfn.ISOWEEKNUM(Таблица2_2[[#This Row],[Дата]])</f>
        <v>21</v>
      </c>
      <c r="H363">
        <f>Таблица2_2[[#This Row],[Товарооборот, руб]]/Таблица2_2[[#This Row],[Количество складов]]</f>
        <v>124138.35</v>
      </c>
      <c r="I363" t="str">
        <f>--Таблица2_2[[#This Row],[Дата]]&amp;Таблица2_2[[#This Row],[Территория]]</f>
        <v>43974Тольятти</v>
      </c>
    </row>
    <row r="364" spans="1:9" x14ac:dyDescent="0.25">
      <c r="A364" s="12">
        <v>43975</v>
      </c>
      <c r="B364" s="13" t="s">
        <v>16</v>
      </c>
      <c r="C364">
        <v>36</v>
      </c>
      <c r="D364">
        <v>4915</v>
      </c>
      <c r="E364">
        <v>4562</v>
      </c>
      <c r="F364" s="14">
        <f>INDEX(Лист1!$D:$D,MATCH(I364,Лист1!$J:$J,0))</f>
        <v>6098236.5</v>
      </c>
      <c r="G364">
        <f>_xlfn.ISOWEEKNUM(Таблица2_2[[#This Row],[Дата]])</f>
        <v>21</v>
      </c>
      <c r="H364">
        <f>Таблица2_2[[#This Row],[Товарооборот, руб]]/Таблица2_2[[#This Row],[Количество складов]]</f>
        <v>169395.45833333334</v>
      </c>
      <c r="I364" t="str">
        <f>--Таблица2_2[[#This Row],[Дата]]&amp;Таблица2_2[[#This Row],[Территория]]</f>
        <v>43975Волгоград</v>
      </c>
    </row>
    <row r="365" spans="1:9" x14ac:dyDescent="0.25">
      <c r="A365" s="12">
        <v>43975</v>
      </c>
      <c r="B365" s="13" t="s">
        <v>11</v>
      </c>
      <c r="C365">
        <v>31</v>
      </c>
      <c r="D365">
        <v>5035</v>
      </c>
      <c r="E365">
        <v>4683</v>
      </c>
      <c r="F365" s="14">
        <f>INDEX(Лист1!$D:$D,MATCH(I365,Лист1!$J:$J,0))</f>
        <v>6451032</v>
      </c>
      <c r="G365">
        <f>_xlfn.ISOWEEKNUM(Таблица2_2[[#This Row],[Дата]])</f>
        <v>21</v>
      </c>
      <c r="H365">
        <f>Таблица2_2[[#This Row],[Товарооборот, руб]]/Таблица2_2[[#This Row],[Количество складов]]</f>
        <v>208097.80645161291</v>
      </c>
      <c r="I365" t="str">
        <f>--Таблица2_2[[#This Row],[Дата]]&amp;Таблица2_2[[#This Row],[Территория]]</f>
        <v>43975Екатеринбург</v>
      </c>
    </row>
    <row r="366" spans="1:9" x14ac:dyDescent="0.25">
      <c r="A366" s="12">
        <v>43975</v>
      </c>
      <c r="B366" s="13" t="s">
        <v>17</v>
      </c>
      <c r="C366">
        <v>21</v>
      </c>
      <c r="D366">
        <v>2254</v>
      </c>
      <c r="E366">
        <v>2061</v>
      </c>
      <c r="F366" s="14">
        <f>INDEX(Лист1!$D:$D,MATCH(I366,Лист1!$J:$J,0))</f>
        <v>3449302.5</v>
      </c>
      <c r="G366">
        <f>_xlfn.ISOWEEKNUM(Таблица2_2[[#This Row],[Дата]])</f>
        <v>21</v>
      </c>
      <c r="H366">
        <f>Таблица2_2[[#This Row],[Товарооборот, руб]]/Таблица2_2[[#This Row],[Количество складов]]</f>
        <v>164252.5</v>
      </c>
      <c r="I366" t="str">
        <f>--Таблица2_2[[#This Row],[Дата]]&amp;Таблица2_2[[#This Row],[Территория]]</f>
        <v>43975Казань</v>
      </c>
    </row>
    <row r="367" spans="1:9" x14ac:dyDescent="0.25">
      <c r="A367" s="12">
        <v>43975</v>
      </c>
      <c r="B367" s="13" t="s">
        <v>10</v>
      </c>
      <c r="C367">
        <v>20</v>
      </c>
      <c r="D367">
        <v>1999</v>
      </c>
      <c r="E367">
        <v>1829</v>
      </c>
      <c r="F367" s="14">
        <f>INDEX(Лист1!$D:$D,MATCH(I367,Лист1!$J:$J,0))</f>
        <v>2924746.5</v>
      </c>
      <c r="G367">
        <f>_xlfn.ISOWEEKNUM(Таблица2_2[[#This Row],[Дата]])</f>
        <v>21</v>
      </c>
      <c r="H367">
        <f>Таблица2_2[[#This Row],[Товарооборот, руб]]/Таблица2_2[[#This Row],[Количество складов]]</f>
        <v>146237.32500000001</v>
      </c>
      <c r="I367" t="str">
        <f>--Таблица2_2[[#This Row],[Дата]]&amp;Таблица2_2[[#This Row],[Территория]]</f>
        <v>43975Кемерово</v>
      </c>
    </row>
    <row r="368" spans="1:9" x14ac:dyDescent="0.25">
      <c r="A368" s="12">
        <v>43975</v>
      </c>
      <c r="B368" s="13" t="s">
        <v>20</v>
      </c>
      <c r="C368">
        <v>19</v>
      </c>
      <c r="D368">
        <v>1868</v>
      </c>
      <c r="E368">
        <v>1706</v>
      </c>
      <c r="F368" s="14">
        <f>INDEX(Лист1!$D:$D,MATCH(I368,Лист1!$J:$J,0))</f>
        <v>2526909</v>
      </c>
      <c r="G368">
        <f>_xlfn.ISOWEEKNUM(Таблица2_2[[#This Row],[Дата]])</f>
        <v>21</v>
      </c>
      <c r="H368">
        <f>Таблица2_2[[#This Row],[Товарооборот, руб]]/Таблица2_2[[#This Row],[Количество складов]]</f>
        <v>132995.21052631579</v>
      </c>
      <c r="I368" t="str">
        <f>--Таблица2_2[[#This Row],[Дата]]&amp;Таблица2_2[[#This Row],[Территория]]</f>
        <v>43975Краснодар</v>
      </c>
    </row>
    <row r="369" spans="1:9" x14ac:dyDescent="0.25">
      <c r="A369" s="12">
        <v>43975</v>
      </c>
      <c r="B369" s="13" t="s">
        <v>22</v>
      </c>
      <c r="C369">
        <v>54</v>
      </c>
      <c r="D369">
        <v>12211</v>
      </c>
      <c r="E369">
        <v>11427</v>
      </c>
      <c r="F369" s="14">
        <f>INDEX(Лист1!$D:$D,MATCH(I369,Лист1!$J:$J,0))</f>
        <v>19071117</v>
      </c>
      <c r="G369">
        <f>_xlfn.ISOWEEKNUM(Таблица2_2[[#This Row],[Дата]])</f>
        <v>21</v>
      </c>
      <c r="H369">
        <f>Таблица2_2[[#This Row],[Товарооборот, руб]]/Таблица2_2[[#This Row],[Количество складов]]</f>
        <v>353168.83333333331</v>
      </c>
      <c r="I369" t="str">
        <f>--Таблица2_2[[#This Row],[Дата]]&amp;Таблица2_2[[#This Row],[Территория]]</f>
        <v>43975Москва Восток</v>
      </c>
    </row>
    <row r="370" spans="1:9" x14ac:dyDescent="0.25">
      <c r="A370" s="12">
        <v>43975</v>
      </c>
      <c r="B370" s="13" t="s">
        <v>21</v>
      </c>
      <c r="C370">
        <v>60</v>
      </c>
      <c r="D370">
        <v>12822</v>
      </c>
      <c r="E370">
        <v>11916</v>
      </c>
      <c r="F370" s="14">
        <f>INDEX(Лист1!$D:$D,MATCH(I370,Лист1!$J:$J,0))</f>
        <v>19959801</v>
      </c>
      <c r="G370">
        <f>_xlfn.ISOWEEKNUM(Таблица2_2[[#This Row],[Дата]])</f>
        <v>21</v>
      </c>
      <c r="H370">
        <f>Таблица2_2[[#This Row],[Товарооборот, руб]]/Таблица2_2[[#This Row],[Количество складов]]</f>
        <v>332663.34999999998</v>
      </c>
      <c r="I370" t="str">
        <f>--Таблица2_2[[#This Row],[Дата]]&amp;Таблица2_2[[#This Row],[Территория]]</f>
        <v>43975Москва Запад</v>
      </c>
    </row>
    <row r="371" spans="1:9" x14ac:dyDescent="0.25">
      <c r="A371" s="12">
        <v>43975</v>
      </c>
      <c r="B371" s="13" t="s">
        <v>13</v>
      </c>
      <c r="C371">
        <v>20</v>
      </c>
      <c r="D371">
        <v>2015</v>
      </c>
      <c r="E371">
        <v>1803</v>
      </c>
      <c r="F371" s="14">
        <f>INDEX(Лист1!$D:$D,MATCH(I371,Лист1!$J:$J,0))</f>
        <v>2915533.5</v>
      </c>
      <c r="G371">
        <f>_xlfn.ISOWEEKNUM(Таблица2_2[[#This Row],[Дата]])</f>
        <v>21</v>
      </c>
      <c r="H371">
        <f>Таблица2_2[[#This Row],[Товарооборот, руб]]/Таблица2_2[[#This Row],[Количество складов]]</f>
        <v>145776.67499999999</v>
      </c>
      <c r="I371" t="str">
        <f>--Таблица2_2[[#This Row],[Дата]]&amp;Таблица2_2[[#This Row],[Территория]]</f>
        <v>43975Нижний Новгород</v>
      </c>
    </row>
    <row r="372" spans="1:9" x14ac:dyDescent="0.25">
      <c r="A372" s="12">
        <v>43975</v>
      </c>
      <c r="B372" s="13" t="s">
        <v>23</v>
      </c>
      <c r="C372">
        <v>18</v>
      </c>
      <c r="D372">
        <v>1006</v>
      </c>
      <c r="E372">
        <v>904</v>
      </c>
      <c r="F372" s="14">
        <f>INDEX(Лист1!$D:$D,MATCH(I372,Лист1!$J:$J,0))</f>
        <v>1386262.5</v>
      </c>
      <c r="G372">
        <f>_xlfn.ISOWEEKNUM(Таблица2_2[[#This Row],[Дата]])</f>
        <v>21</v>
      </c>
      <c r="H372">
        <f>Таблица2_2[[#This Row],[Товарооборот, руб]]/Таблица2_2[[#This Row],[Количество складов]]</f>
        <v>77014.583333333328</v>
      </c>
      <c r="I372" t="str">
        <f>--Таблица2_2[[#This Row],[Дата]]&amp;Таблица2_2[[#This Row],[Территория]]</f>
        <v>43975Новосибирск</v>
      </c>
    </row>
    <row r="373" spans="1:9" x14ac:dyDescent="0.25">
      <c r="A373" s="12">
        <v>43975</v>
      </c>
      <c r="B373" s="13" t="s">
        <v>18</v>
      </c>
      <c r="C373">
        <v>17</v>
      </c>
      <c r="D373">
        <v>1128</v>
      </c>
      <c r="E373">
        <v>1001</v>
      </c>
      <c r="F373" s="14">
        <f>INDEX(Лист1!$D:$D,MATCH(I373,Лист1!$J:$J,0))</f>
        <v>1548099</v>
      </c>
      <c r="G373">
        <f>_xlfn.ISOWEEKNUM(Таблица2_2[[#This Row],[Дата]])</f>
        <v>21</v>
      </c>
      <c r="H373">
        <f>Таблица2_2[[#This Row],[Товарооборот, руб]]/Таблица2_2[[#This Row],[Количество складов]]</f>
        <v>91064.647058823524</v>
      </c>
      <c r="I373" t="str">
        <f>--Таблица2_2[[#This Row],[Дата]]&amp;Таблица2_2[[#This Row],[Территория]]</f>
        <v>43975Пермь</v>
      </c>
    </row>
    <row r="374" spans="1:9" x14ac:dyDescent="0.25">
      <c r="A374" s="12">
        <v>43975</v>
      </c>
      <c r="B374" s="13" t="s">
        <v>19</v>
      </c>
      <c r="C374">
        <v>15</v>
      </c>
      <c r="D374">
        <v>779</v>
      </c>
      <c r="E374">
        <v>673</v>
      </c>
      <c r="F374" s="14">
        <f>INDEX(Лист1!$D:$D,MATCH(I374,Лист1!$J:$J,0))</f>
        <v>1184865</v>
      </c>
      <c r="G374">
        <f>_xlfn.ISOWEEKNUM(Таблица2_2[[#This Row],[Дата]])</f>
        <v>21</v>
      </c>
      <c r="H374">
        <f>Таблица2_2[[#This Row],[Товарооборот, руб]]/Таблица2_2[[#This Row],[Количество складов]]</f>
        <v>78991</v>
      </c>
      <c r="I374" t="str">
        <f>--Таблица2_2[[#This Row],[Дата]]&amp;Таблица2_2[[#This Row],[Территория]]</f>
        <v>43975Ростов-на-Дону</v>
      </c>
    </row>
    <row r="375" spans="1:9" x14ac:dyDescent="0.25">
      <c r="A375" s="12">
        <v>43975</v>
      </c>
      <c r="B375" s="13" t="s">
        <v>15</v>
      </c>
      <c r="C375">
        <v>125</v>
      </c>
      <c r="D375">
        <v>21004</v>
      </c>
      <c r="E375">
        <v>19556</v>
      </c>
      <c r="F375" s="14">
        <f>INDEX(Лист1!$D:$D,MATCH(I375,Лист1!$J:$J,0))</f>
        <v>38191381.5</v>
      </c>
      <c r="G375">
        <f>_xlfn.ISOWEEKNUM(Таблица2_2[[#This Row],[Дата]])</f>
        <v>21</v>
      </c>
      <c r="H375">
        <f>Таблица2_2[[#This Row],[Товарооборот, руб]]/Таблица2_2[[#This Row],[Количество складов]]</f>
        <v>305531.05200000003</v>
      </c>
      <c r="I375" t="str">
        <f>--Таблица2_2[[#This Row],[Дата]]&amp;Таблица2_2[[#This Row],[Территория]]</f>
        <v>43975Санкт-Петербург Север</v>
      </c>
    </row>
    <row r="376" spans="1:9" x14ac:dyDescent="0.25">
      <c r="A376" s="12">
        <v>43975</v>
      </c>
      <c r="B376" s="13" t="s">
        <v>14</v>
      </c>
      <c r="C376">
        <v>129</v>
      </c>
      <c r="D376">
        <v>16432</v>
      </c>
      <c r="E376">
        <v>15345</v>
      </c>
      <c r="F376" s="14">
        <f>INDEX(Лист1!$D:$D,MATCH(I376,Лист1!$J:$J,0))</f>
        <v>28188534</v>
      </c>
      <c r="G376">
        <f>_xlfn.ISOWEEKNUM(Таблица2_2[[#This Row],[Дата]])</f>
        <v>21</v>
      </c>
      <c r="H376">
        <f>Таблица2_2[[#This Row],[Товарооборот, руб]]/Таблица2_2[[#This Row],[Количество складов]]</f>
        <v>218515.76744186046</v>
      </c>
      <c r="I376" t="str">
        <f>--Таблица2_2[[#This Row],[Дата]]&amp;Таблица2_2[[#This Row],[Территория]]</f>
        <v>43975Санкт-Петербург Юг</v>
      </c>
    </row>
    <row r="377" spans="1:9" x14ac:dyDescent="0.25">
      <c r="A377" s="12">
        <v>43975</v>
      </c>
      <c r="B377" s="13" t="s">
        <v>12</v>
      </c>
      <c r="C377">
        <v>10</v>
      </c>
      <c r="D377">
        <v>639</v>
      </c>
      <c r="E377">
        <v>557</v>
      </c>
      <c r="F377" s="14">
        <f>INDEX(Лист1!$D:$D,MATCH(I377,Лист1!$J:$J,0))</f>
        <v>828984</v>
      </c>
      <c r="G377">
        <f>_xlfn.ISOWEEKNUM(Таблица2_2[[#This Row],[Дата]])</f>
        <v>21</v>
      </c>
      <c r="H377">
        <f>Таблица2_2[[#This Row],[Товарооборот, руб]]/Таблица2_2[[#This Row],[Количество складов]]</f>
        <v>82898.399999999994</v>
      </c>
      <c r="I377" t="str">
        <f>--Таблица2_2[[#This Row],[Дата]]&amp;Таблица2_2[[#This Row],[Территория]]</f>
        <v>43975Тольятти</v>
      </c>
    </row>
    <row r="378" spans="1:9" x14ac:dyDescent="0.25">
      <c r="A378" s="12">
        <v>43976</v>
      </c>
      <c r="B378" s="13" t="s">
        <v>16</v>
      </c>
      <c r="C378">
        <v>36</v>
      </c>
      <c r="D378">
        <v>4641</v>
      </c>
      <c r="E378">
        <v>4274</v>
      </c>
      <c r="F378" s="14">
        <f>INDEX(Лист1!$D:$D,MATCH(I378,Лист1!$J:$J,0))</f>
        <v>5704650</v>
      </c>
      <c r="G378">
        <f>_xlfn.ISOWEEKNUM(Таблица2_2[[#This Row],[Дата]])</f>
        <v>22</v>
      </c>
      <c r="H378">
        <f>Таблица2_2[[#This Row],[Товарооборот, руб]]/Таблица2_2[[#This Row],[Количество складов]]</f>
        <v>158462.5</v>
      </c>
      <c r="I378" t="str">
        <f>--Таблица2_2[[#This Row],[Дата]]&amp;Таблица2_2[[#This Row],[Территория]]</f>
        <v>43976Волгоград</v>
      </c>
    </row>
    <row r="379" spans="1:9" x14ac:dyDescent="0.25">
      <c r="A379" s="12">
        <v>43976</v>
      </c>
      <c r="B379" s="13" t="s">
        <v>11</v>
      </c>
      <c r="C379">
        <v>31</v>
      </c>
      <c r="D379">
        <v>5210</v>
      </c>
      <c r="E379">
        <v>4841</v>
      </c>
      <c r="F379" s="14">
        <f>INDEX(Лист1!$D:$D,MATCH(I379,Лист1!$J:$J,0))</f>
        <v>6645603</v>
      </c>
      <c r="G379">
        <f>_xlfn.ISOWEEKNUM(Таблица2_2[[#This Row],[Дата]])</f>
        <v>22</v>
      </c>
      <c r="H379">
        <f>Таблица2_2[[#This Row],[Товарооборот, руб]]/Таблица2_2[[#This Row],[Количество складов]]</f>
        <v>214374.29032258064</v>
      </c>
      <c r="I379" t="str">
        <f>--Таблица2_2[[#This Row],[Дата]]&amp;Таблица2_2[[#This Row],[Территория]]</f>
        <v>43976Екатеринбург</v>
      </c>
    </row>
    <row r="380" spans="1:9" x14ac:dyDescent="0.25">
      <c r="A380" s="12">
        <v>43976</v>
      </c>
      <c r="B380" s="13" t="s">
        <v>17</v>
      </c>
      <c r="C380">
        <v>21</v>
      </c>
      <c r="D380">
        <v>2330</v>
      </c>
      <c r="E380">
        <v>2142</v>
      </c>
      <c r="F380" s="14">
        <f>INDEX(Лист1!$D:$D,MATCH(I380,Лист1!$J:$J,0))</f>
        <v>3561655.5</v>
      </c>
      <c r="G380">
        <f>_xlfn.ISOWEEKNUM(Таблица2_2[[#This Row],[Дата]])</f>
        <v>22</v>
      </c>
      <c r="H380">
        <f>Таблица2_2[[#This Row],[Товарооборот, руб]]/Таблица2_2[[#This Row],[Количество складов]]</f>
        <v>169602.64285714287</v>
      </c>
      <c r="I380" t="str">
        <f>--Таблица2_2[[#This Row],[Дата]]&amp;Таблица2_2[[#This Row],[Территория]]</f>
        <v>43976Казань</v>
      </c>
    </row>
    <row r="381" spans="1:9" x14ac:dyDescent="0.25">
      <c r="A381" s="12">
        <v>43976</v>
      </c>
      <c r="B381" s="13" t="s">
        <v>10</v>
      </c>
      <c r="C381">
        <v>20</v>
      </c>
      <c r="D381">
        <v>2087</v>
      </c>
      <c r="E381">
        <v>1914</v>
      </c>
      <c r="F381" s="14">
        <f>INDEX(Лист1!$D:$D,MATCH(I381,Лист1!$J:$J,0))</f>
        <v>3176580</v>
      </c>
      <c r="G381">
        <f>_xlfn.ISOWEEKNUM(Таблица2_2[[#This Row],[Дата]])</f>
        <v>22</v>
      </c>
      <c r="H381">
        <f>Таблица2_2[[#This Row],[Товарооборот, руб]]/Таблица2_2[[#This Row],[Количество складов]]</f>
        <v>158829</v>
      </c>
      <c r="I381" t="str">
        <f>--Таблица2_2[[#This Row],[Дата]]&amp;Таблица2_2[[#This Row],[Территория]]</f>
        <v>43976Кемерово</v>
      </c>
    </row>
    <row r="382" spans="1:9" x14ac:dyDescent="0.25">
      <c r="A382" s="12">
        <v>43976</v>
      </c>
      <c r="B382" s="13" t="s">
        <v>20</v>
      </c>
      <c r="C382">
        <v>20</v>
      </c>
      <c r="D382">
        <v>1899</v>
      </c>
      <c r="E382">
        <v>1738</v>
      </c>
      <c r="F382" s="14">
        <f>INDEX(Лист1!$D:$D,MATCH(I382,Лист1!$J:$J,0))</f>
        <v>2512803</v>
      </c>
      <c r="G382">
        <f>_xlfn.ISOWEEKNUM(Таблица2_2[[#This Row],[Дата]])</f>
        <v>22</v>
      </c>
      <c r="H382">
        <f>Таблица2_2[[#This Row],[Товарооборот, руб]]/Таблица2_2[[#This Row],[Количество складов]]</f>
        <v>125640.15</v>
      </c>
      <c r="I382" t="str">
        <f>--Таблица2_2[[#This Row],[Дата]]&amp;Таблица2_2[[#This Row],[Территория]]</f>
        <v>43976Краснодар</v>
      </c>
    </row>
    <row r="383" spans="1:9" x14ac:dyDescent="0.25">
      <c r="A383" s="12">
        <v>43976</v>
      </c>
      <c r="B383" s="13" t="s">
        <v>22</v>
      </c>
      <c r="C383">
        <v>54</v>
      </c>
      <c r="D383">
        <v>12336</v>
      </c>
      <c r="E383">
        <v>11519</v>
      </c>
      <c r="F383" s="14">
        <f>INDEX(Лист1!$D:$D,MATCH(I383,Лист1!$J:$J,0))</f>
        <v>19806927</v>
      </c>
      <c r="G383">
        <f>_xlfn.ISOWEEKNUM(Таблица2_2[[#This Row],[Дата]])</f>
        <v>22</v>
      </c>
      <c r="H383">
        <f>Таблица2_2[[#This Row],[Товарооборот, руб]]/Таблица2_2[[#This Row],[Количество складов]]</f>
        <v>366794.94444444444</v>
      </c>
      <c r="I383" t="str">
        <f>--Таблица2_2[[#This Row],[Дата]]&amp;Таблица2_2[[#This Row],[Территория]]</f>
        <v>43976Москва Восток</v>
      </c>
    </row>
    <row r="384" spans="1:9" x14ac:dyDescent="0.25">
      <c r="A384" s="12">
        <v>43976</v>
      </c>
      <c r="B384" s="13" t="s">
        <v>21</v>
      </c>
      <c r="C384">
        <v>59</v>
      </c>
      <c r="D384">
        <v>12983</v>
      </c>
      <c r="E384">
        <v>12056</v>
      </c>
      <c r="F384" s="14">
        <f>INDEX(Лист1!$D:$D,MATCH(I384,Лист1!$J:$J,0))</f>
        <v>20582743.5</v>
      </c>
      <c r="G384">
        <f>_xlfn.ISOWEEKNUM(Таблица2_2[[#This Row],[Дата]])</f>
        <v>22</v>
      </c>
      <c r="H384">
        <f>Таблица2_2[[#This Row],[Товарооборот, руб]]/Таблица2_2[[#This Row],[Количество складов]]</f>
        <v>348860.05932203389</v>
      </c>
      <c r="I384" t="str">
        <f>--Таблица2_2[[#This Row],[Дата]]&amp;Таблица2_2[[#This Row],[Территория]]</f>
        <v>43976Москва Запад</v>
      </c>
    </row>
    <row r="385" spans="1:9" x14ac:dyDescent="0.25">
      <c r="A385" s="12">
        <v>43976</v>
      </c>
      <c r="B385" s="13" t="s">
        <v>13</v>
      </c>
      <c r="C385">
        <v>20</v>
      </c>
      <c r="D385">
        <v>2011</v>
      </c>
      <c r="E385">
        <v>1791</v>
      </c>
      <c r="F385" s="14">
        <f>INDEX(Лист1!$D:$D,MATCH(I385,Лист1!$J:$J,0))</f>
        <v>2865727.5</v>
      </c>
      <c r="G385">
        <f>_xlfn.ISOWEEKNUM(Таблица2_2[[#This Row],[Дата]])</f>
        <v>22</v>
      </c>
      <c r="H385">
        <f>Таблица2_2[[#This Row],[Товарооборот, руб]]/Таблица2_2[[#This Row],[Количество складов]]</f>
        <v>143286.375</v>
      </c>
      <c r="I385" t="str">
        <f>--Таблица2_2[[#This Row],[Дата]]&amp;Таблица2_2[[#This Row],[Территория]]</f>
        <v>43976Нижний Новгород</v>
      </c>
    </row>
    <row r="386" spans="1:9" x14ac:dyDescent="0.25">
      <c r="A386" s="12">
        <v>43976</v>
      </c>
      <c r="B386" s="13" t="s">
        <v>23</v>
      </c>
      <c r="C386">
        <v>18</v>
      </c>
      <c r="D386">
        <v>989</v>
      </c>
      <c r="E386">
        <v>887</v>
      </c>
      <c r="F386" s="14">
        <f>INDEX(Лист1!$D:$D,MATCH(I386,Лист1!$J:$J,0))</f>
        <v>1326705</v>
      </c>
      <c r="G386">
        <f>_xlfn.ISOWEEKNUM(Таблица2_2[[#This Row],[Дата]])</f>
        <v>22</v>
      </c>
      <c r="H386">
        <f>Таблица2_2[[#This Row],[Товарооборот, руб]]/Таблица2_2[[#This Row],[Количество складов]]</f>
        <v>73705.833333333328</v>
      </c>
      <c r="I386" t="str">
        <f>--Таблица2_2[[#This Row],[Дата]]&amp;Таблица2_2[[#This Row],[Территория]]</f>
        <v>43976Новосибирск</v>
      </c>
    </row>
    <row r="387" spans="1:9" x14ac:dyDescent="0.25">
      <c r="A387" s="12">
        <v>43976</v>
      </c>
      <c r="B387" s="13" t="s">
        <v>18</v>
      </c>
      <c r="C387">
        <v>17</v>
      </c>
      <c r="D387">
        <v>1142</v>
      </c>
      <c r="E387">
        <v>1020</v>
      </c>
      <c r="F387" s="14">
        <f>INDEX(Лист1!$D:$D,MATCH(I387,Лист1!$J:$J,0))</f>
        <v>1507867.5</v>
      </c>
      <c r="G387">
        <f>_xlfn.ISOWEEKNUM(Таблица2_2[[#This Row],[Дата]])</f>
        <v>22</v>
      </c>
      <c r="H387">
        <f>Таблица2_2[[#This Row],[Товарооборот, руб]]/Таблица2_2[[#This Row],[Количество складов]]</f>
        <v>88698.088235294112</v>
      </c>
      <c r="I387" t="str">
        <f>--Таблица2_2[[#This Row],[Дата]]&amp;Таблица2_2[[#This Row],[Территория]]</f>
        <v>43976Пермь</v>
      </c>
    </row>
    <row r="388" spans="1:9" x14ac:dyDescent="0.25">
      <c r="A388" s="12">
        <v>43976</v>
      </c>
      <c r="B388" s="13" t="s">
        <v>19</v>
      </c>
      <c r="C388">
        <v>15</v>
      </c>
      <c r="D388">
        <v>835</v>
      </c>
      <c r="E388">
        <v>736</v>
      </c>
      <c r="F388" s="14">
        <f>INDEX(Лист1!$D:$D,MATCH(I388,Лист1!$J:$J,0))</f>
        <v>1230687</v>
      </c>
      <c r="G388">
        <f>_xlfn.ISOWEEKNUM(Таблица2_2[[#This Row],[Дата]])</f>
        <v>22</v>
      </c>
      <c r="H388">
        <f>Таблица2_2[[#This Row],[Товарооборот, руб]]/Таблица2_2[[#This Row],[Количество складов]]</f>
        <v>82045.8</v>
      </c>
      <c r="I388" t="str">
        <f>--Таблица2_2[[#This Row],[Дата]]&amp;Таблица2_2[[#This Row],[Территория]]</f>
        <v>43976Ростов-на-Дону</v>
      </c>
    </row>
    <row r="389" spans="1:9" x14ac:dyDescent="0.25">
      <c r="A389" s="12">
        <v>43976</v>
      </c>
      <c r="B389" s="13" t="s">
        <v>15</v>
      </c>
      <c r="C389">
        <v>124</v>
      </c>
      <c r="D389">
        <v>20358</v>
      </c>
      <c r="E389">
        <v>18890</v>
      </c>
      <c r="F389" s="14">
        <f>INDEX(Лист1!$D:$D,MATCH(I389,Лист1!$J:$J,0))</f>
        <v>36883428</v>
      </c>
      <c r="G389">
        <f>_xlfn.ISOWEEKNUM(Таблица2_2[[#This Row],[Дата]])</f>
        <v>22</v>
      </c>
      <c r="H389">
        <f>Таблица2_2[[#This Row],[Товарооборот, руб]]/Таблица2_2[[#This Row],[Количество складов]]</f>
        <v>297447</v>
      </c>
      <c r="I389" t="str">
        <f>--Таблица2_2[[#This Row],[Дата]]&amp;Таблица2_2[[#This Row],[Территория]]</f>
        <v>43976Санкт-Петербург Север</v>
      </c>
    </row>
    <row r="390" spans="1:9" x14ac:dyDescent="0.25">
      <c r="A390" s="12">
        <v>43976</v>
      </c>
      <c r="B390" s="13" t="s">
        <v>14</v>
      </c>
      <c r="C390">
        <v>129</v>
      </c>
      <c r="D390">
        <v>15822</v>
      </c>
      <c r="E390">
        <v>14753</v>
      </c>
      <c r="F390" s="14">
        <f>INDEX(Лист1!$D:$D,MATCH(I390,Лист1!$J:$J,0))</f>
        <v>27165913.5</v>
      </c>
      <c r="G390">
        <f>_xlfn.ISOWEEKNUM(Таблица2_2[[#This Row],[Дата]])</f>
        <v>22</v>
      </c>
      <c r="H390">
        <f>Таблица2_2[[#This Row],[Товарооборот, руб]]/Таблица2_2[[#This Row],[Количество складов]]</f>
        <v>210588.47674418605</v>
      </c>
      <c r="I390" t="str">
        <f>--Таблица2_2[[#This Row],[Дата]]&amp;Таблица2_2[[#This Row],[Территория]]</f>
        <v>43976Санкт-Петербург Юг</v>
      </c>
    </row>
    <row r="391" spans="1:9" x14ac:dyDescent="0.25">
      <c r="A391" s="12">
        <v>43976</v>
      </c>
      <c r="B391" s="13" t="s">
        <v>12</v>
      </c>
      <c r="C391">
        <v>10</v>
      </c>
      <c r="D391">
        <v>739</v>
      </c>
      <c r="E391">
        <v>642</v>
      </c>
      <c r="F391" s="14">
        <f>INDEX(Лист1!$D:$D,MATCH(I391,Лист1!$J:$J,0))</f>
        <v>1030440</v>
      </c>
      <c r="G391">
        <f>_xlfn.ISOWEEKNUM(Таблица2_2[[#This Row],[Дата]])</f>
        <v>22</v>
      </c>
      <c r="H391">
        <f>Таблица2_2[[#This Row],[Товарооборот, руб]]/Таблица2_2[[#This Row],[Количество складов]]</f>
        <v>103044</v>
      </c>
      <c r="I391" t="str">
        <f>--Таблица2_2[[#This Row],[Дата]]&amp;Таблица2_2[[#This Row],[Территория]]</f>
        <v>43976Тольятти</v>
      </c>
    </row>
    <row r="392" spans="1:9" x14ac:dyDescent="0.25">
      <c r="A392" s="12">
        <v>43977</v>
      </c>
      <c r="B392" s="13" t="s">
        <v>16</v>
      </c>
      <c r="C392">
        <v>36</v>
      </c>
      <c r="D392">
        <v>4770</v>
      </c>
      <c r="E392">
        <v>4424</v>
      </c>
      <c r="F392" s="14">
        <f>INDEX(Лист1!$D:$D,MATCH(I392,Лист1!$J:$J,0))</f>
        <v>5864989.5</v>
      </c>
      <c r="G392">
        <f>_xlfn.ISOWEEKNUM(Таблица2_2[[#This Row],[Дата]])</f>
        <v>22</v>
      </c>
      <c r="H392">
        <f>Таблица2_2[[#This Row],[Товарооборот, руб]]/Таблица2_2[[#This Row],[Количество складов]]</f>
        <v>162916.375</v>
      </c>
      <c r="I392" t="str">
        <f>--Таблица2_2[[#This Row],[Дата]]&amp;Таблица2_2[[#This Row],[Территория]]</f>
        <v>43977Волгоград</v>
      </c>
    </row>
    <row r="393" spans="1:9" x14ac:dyDescent="0.25">
      <c r="A393" s="12">
        <v>43977</v>
      </c>
      <c r="B393" s="13" t="s">
        <v>11</v>
      </c>
      <c r="C393">
        <v>31</v>
      </c>
      <c r="D393">
        <v>5493</v>
      </c>
      <c r="E393">
        <v>5119</v>
      </c>
      <c r="F393" s="14">
        <f>INDEX(Лист1!$D:$D,MATCH(I393,Лист1!$J:$J,0))</f>
        <v>6676459.5</v>
      </c>
      <c r="G393">
        <f>_xlfn.ISOWEEKNUM(Таблица2_2[[#This Row],[Дата]])</f>
        <v>22</v>
      </c>
      <c r="H393">
        <f>Таблица2_2[[#This Row],[Товарооборот, руб]]/Таблица2_2[[#This Row],[Количество складов]]</f>
        <v>215369.66129032258</v>
      </c>
      <c r="I393" t="str">
        <f>--Таблица2_2[[#This Row],[Дата]]&amp;Таблица2_2[[#This Row],[Территория]]</f>
        <v>43977Екатеринбург</v>
      </c>
    </row>
    <row r="394" spans="1:9" x14ac:dyDescent="0.25">
      <c r="A394" s="12">
        <v>43977</v>
      </c>
      <c r="B394" s="13" t="s">
        <v>17</v>
      </c>
      <c r="C394">
        <v>21</v>
      </c>
      <c r="D394">
        <v>2418</v>
      </c>
      <c r="E394">
        <v>2215</v>
      </c>
      <c r="F394" s="14">
        <f>INDEX(Лист1!$D:$D,MATCH(I394,Лист1!$J:$J,0))</f>
        <v>3700311</v>
      </c>
      <c r="G394">
        <f>_xlfn.ISOWEEKNUM(Таблица2_2[[#This Row],[Дата]])</f>
        <v>22</v>
      </c>
      <c r="H394">
        <f>Таблица2_2[[#This Row],[Товарооборот, руб]]/Таблица2_2[[#This Row],[Количество складов]]</f>
        <v>176205.28571428571</v>
      </c>
      <c r="I394" t="str">
        <f>--Таблица2_2[[#This Row],[Дата]]&amp;Таблица2_2[[#This Row],[Территория]]</f>
        <v>43977Казань</v>
      </c>
    </row>
    <row r="395" spans="1:9" x14ac:dyDescent="0.25">
      <c r="A395" s="12">
        <v>43977</v>
      </c>
      <c r="B395" s="13" t="s">
        <v>10</v>
      </c>
      <c r="C395">
        <v>20</v>
      </c>
      <c r="D395">
        <v>2044</v>
      </c>
      <c r="E395">
        <v>1863</v>
      </c>
      <c r="F395" s="14">
        <f>INDEX(Лист1!$D:$D,MATCH(I395,Лист1!$J:$J,0))</f>
        <v>2970330</v>
      </c>
      <c r="G395">
        <f>_xlfn.ISOWEEKNUM(Таблица2_2[[#This Row],[Дата]])</f>
        <v>22</v>
      </c>
      <c r="H395">
        <f>Таблица2_2[[#This Row],[Товарооборот, руб]]/Таблица2_2[[#This Row],[Количество складов]]</f>
        <v>148516.5</v>
      </c>
      <c r="I395" t="str">
        <f>--Таблица2_2[[#This Row],[Дата]]&amp;Таблица2_2[[#This Row],[Территория]]</f>
        <v>43977Кемерово</v>
      </c>
    </row>
    <row r="396" spans="1:9" x14ac:dyDescent="0.25">
      <c r="A396" s="12">
        <v>43977</v>
      </c>
      <c r="B396" s="13" t="s">
        <v>20</v>
      </c>
      <c r="C396">
        <v>20</v>
      </c>
      <c r="D396">
        <v>1814</v>
      </c>
      <c r="E396">
        <v>1655</v>
      </c>
      <c r="F396" s="14">
        <f>INDEX(Лист1!$D:$D,MATCH(I396,Лист1!$J:$J,0))</f>
        <v>2410803</v>
      </c>
      <c r="G396">
        <f>_xlfn.ISOWEEKNUM(Таблица2_2[[#This Row],[Дата]])</f>
        <v>22</v>
      </c>
      <c r="H396">
        <f>Таблица2_2[[#This Row],[Товарооборот, руб]]/Таблица2_2[[#This Row],[Количество складов]]</f>
        <v>120540.15</v>
      </c>
      <c r="I396" t="str">
        <f>--Таблица2_2[[#This Row],[Дата]]&amp;Таблица2_2[[#This Row],[Территория]]</f>
        <v>43977Краснодар</v>
      </c>
    </row>
    <row r="397" spans="1:9" x14ac:dyDescent="0.25">
      <c r="A397" s="12">
        <v>43977</v>
      </c>
      <c r="B397" s="13" t="s">
        <v>22</v>
      </c>
      <c r="C397">
        <v>54</v>
      </c>
      <c r="D397">
        <v>14482</v>
      </c>
      <c r="E397">
        <v>13510</v>
      </c>
      <c r="F397" s="14">
        <f>INDEX(Лист1!$D:$D,MATCH(I397,Лист1!$J:$J,0))</f>
        <v>23856345</v>
      </c>
      <c r="G397">
        <f>_xlfn.ISOWEEKNUM(Таблица2_2[[#This Row],[Дата]])</f>
        <v>22</v>
      </c>
      <c r="H397">
        <f>Таблица2_2[[#This Row],[Товарооборот, руб]]/Таблица2_2[[#This Row],[Количество складов]]</f>
        <v>441784.16666666669</v>
      </c>
      <c r="I397" t="str">
        <f>--Таблица2_2[[#This Row],[Дата]]&amp;Таблица2_2[[#This Row],[Территория]]</f>
        <v>43977Москва Восток</v>
      </c>
    </row>
    <row r="398" spans="1:9" x14ac:dyDescent="0.25">
      <c r="A398" s="12">
        <v>43977</v>
      </c>
      <c r="B398" s="13" t="s">
        <v>21</v>
      </c>
      <c r="C398">
        <v>59</v>
      </c>
      <c r="D398">
        <v>15369</v>
      </c>
      <c r="E398">
        <v>14299</v>
      </c>
      <c r="F398" s="14">
        <f>INDEX(Лист1!$D:$D,MATCH(I398,Лист1!$J:$J,0))</f>
        <v>25163431.5</v>
      </c>
      <c r="G398">
        <f>_xlfn.ISOWEEKNUM(Таблица2_2[[#This Row],[Дата]])</f>
        <v>22</v>
      </c>
      <c r="H398">
        <f>Таблица2_2[[#This Row],[Товарооборот, руб]]/Таблица2_2[[#This Row],[Количество складов]]</f>
        <v>426498.83898305084</v>
      </c>
      <c r="I398" t="str">
        <f>--Таблица2_2[[#This Row],[Дата]]&amp;Таблица2_2[[#This Row],[Территория]]</f>
        <v>43977Москва Запад</v>
      </c>
    </row>
    <row r="399" spans="1:9" x14ac:dyDescent="0.25">
      <c r="A399" s="12">
        <v>43977</v>
      </c>
      <c r="B399" s="13" t="s">
        <v>13</v>
      </c>
      <c r="C399">
        <v>20</v>
      </c>
      <c r="D399">
        <v>2036</v>
      </c>
      <c r="E399">
        <v>1790</v>
      </c>
      <c r="F399" s="14">
        <f>INDEX(Лист1!$D:$D,MATCH(I399,Лист1!$J:$J,0))</f>
        <v>2907411</v>
      </c>
      <c r="G399">
        <f>_xlfn.ISOWEEKNUM(Таблица2_2[[#This Row],[Дата]])</f>
        <v>22</v>
      </c>
      <c r="H399">
        <f>Таблица2_2[[#This Row],[Товарооборот, руб]]/Таблица2_2[[#This Row],[Количество складов]]</f>
        <v>145370.54999999999</v>
      </c>
      <c r="I399" t="str">
        <f>--Таблица2_2[[#This Row],[Дата]]&amp;Таблица2_2[[#This Row],[Территория]]</f>
        <v>43977Нижний Новгород</v>
      </c>
    </row>
    <row r="400" spans="1:9" x14ac:dyDescent="0.25">
      <c r="A400" s="12">
        <v>43977</v>
      </c>
      <c r="B400" s="13" t="s">
        <v>23</v>
      </c>
      <c r="C400">
        <v>18</v>
      </c>
      <c r="D400">
        <v>914</v>
      </c>
      <c r="E400">
        <v>804</v>
      </c>
      <c r="F400" s="14">
        <f>INDEX(Лист1!$D:$D,MATCH(I400,Лист1!$J:$J,0))</f>
        <v>1210456.5</v>
      </c>
      <c r="G400">
        <f>_xlfn.ISOWEEKNUM(Таблица2_2[[#This Row],[Дата]])</f>
        <v>22</v>
      </c>
      <c r="H400">
        <f>Таблица2_2[[#This Row],[Товарооборот, руб]]/Таблица2_2[[#This Row],[Количество складов]]</f>
        <v>67247.583333333328</v>
      </c>
      <c r="I400" t="str">
        <f>--Таблица2_2[[#This Row],[Дата]]&amp;Таблица2_2[[#This Row],[Территория]]</f>
        <v>43977Новосибирск</v>
      </c>
    </row>
    <row r="401" spans="1:9" x14ac:dyDescent="0.25">
      <c r="A401" s="12">
        <v>43977</v>
      </c>
      <c r="B401" s="13" t="s">
        <v>18</v>
      </c>
      <c r="C401">
        <v>17</v>
      </c>
      <c r="D401">
        <v>1140</v>
      </c>
      <c r="E401">
        <v>1016</v>
      </c>
      <c r="F401" s="14">
        <f>INDEX(Лист1!$D:$D,MATCH(I401,Лист1!$J:$J,0))</f>
        <v>1489132.5</v>
      </c>
      <c r="G401">
        <f>_xlfn.ISOWEEKNUM(Таблица2_2[[#This Row],[Дата]])</f>
        <v>22</v>
      </c>
      <c r="H401">
        <f>Таблица2_2[[#This Row],[Товарооборот, руб]]/Таблица2_2[[#This Row],[Количество складов]]</f>
        <v>87596.029411764699</v>
      </c>
      <c r="I401" t="str">
        <f>--Таблица2_2[[#This Row],[Дата]]&amp;Таблица2_2[[#This Row],[Территория]]</f>
        <v>43977Пермь</v>
      </c>
    </row>
    <row r="402" spans="1:9" x14ac:dyDescent="0.25">
      <c r="A402" s="12">
        <v>43977</v>
      </c>
      <c r="B402" s="13" t="s">
        <v>19</v>
      </c>
      <c r="C402">
        <v>15</v>
      </c>
      <c r="D402">
        <v>812</v>
      </c>
      <c r="E402">
        <v>711</v>
      </c>
      <c r="F402" s="14">
        <f>INDEX(Лист1!$D:$D,MATCH(I402,Лист1!$J:$J,0))</f>
        <v>1152054</v>
      </c>
      <c r="G402">
        <f>_xlfn.ISOWEEKNUM(Таблица2_2[[#This Row],[Дата]])</f>
        <v>22</v>
      </c>
      <c r="H402">
        <f>Таблица2_2[[#This Row],[Товарооборот, руб]]/Таблица2_2[[#This Row],[Количество складов]]</f>
        <v>76803.600000000006</v>
      </c>
      <c r="I402" t="str">
        <f>--Таблица2_2[[#This Row],[Дата]]&amp;Таблица2_2[[#This Row],[Территория]]</f>
        <v>43977Ростов-на-Дону</v>
      </c>
    </row>
    <row r="403" spans="1:9" x14ac:dyDescent="0.25">
      <c r="A403" s="12">
        <v>43977</v>
      </c>
      <c r="B403" s="13" t="s">
        <v>15</v>
      </c>
      <c r="C403">
        <v>124</v>
      </c>
      <c r="D403">
        <v>21153</v>
      </c>
      <c r="E403">
        <v>19673</v>
      </c>
      <c r="F403" s="14">
        <f>INDEX(Лист1!$D:$D,MATCH(I403,Лист1!$J:$J,0))</f>
        <v>38365960.5</v>
      </c>
      <c r="G403">
        <f>_xlfn.ISOWEEKNUM(Таблица2_2[[#This Row],[Дата]])</f>
        <v>22</v>
      </c>
      <c r="H403">
        <f>Таблица2_2[[#This Row],[Товарооборот, руб]]/Таблица2_2[[#This Row],[Количество складов]]</f>
        <v>309402.90725806454</v>
      </c>
      <c r="I403" t="str">
        <f>--Таблица2_2[[#This Row],[Дата]]&amp;Таблица2_2[[#This Row],[Территория]]</f>
        <v>43977Санкт-Петербург Север</v>
      </c>
    </row>
    <row r="404" spans="1:9" x14ac:dyDescent="0.25">
      <c r="A404" s="12">
        <v>43977</v>
      </c>
      <c r="B404" s="13" t="s">
        <v>14</v>
      </c>
      <c r="C404">
        <v>129</v>
      </c>
      <c r="D404">
        <v>16459</v>
      </c>
      <c r="E404">
        <v>15355</v>
      </c>
      <c r="F404" s="14">
        <f>INDEX(Лист1!$D:$D,MATCH(I404,Лист1!$J:$J,0))</f>
        <v>27872617.898850001</v>
      </c>
      <c r="G404">
        <f>_xlfn.ISOWEEKNUM(Таблица2_2[[#This Row],[Дата]])</f>
        <v>22</v>
      </c>
      <c r="H404">
        <f>Таблица2_2[[#This Row],[Товарооборот, руб]]/Таблица2_2[[#This Row],[Количество складов]]</f>
        <v>216066.80541744188</v>
      </c>
      <c r="I404" t="str">
        <f>--Таблица2_2[[#This Row],[Дата]]&amp;Таблица2_2[[#This Row],[Территория]]</f>
        <v>43977Санкт-Петербург Юг</v>
      </c>
    </row>
    <row r="405" spans="1:9" x14ac:dyDescent="0.25">
      <c r="A405" s="12">
        <v>43977</v>
      </c>
      <c r="B405" s="13" t="s">
        <v>12</v>
      </c>
      <c r="C405">
        <v>10</v>
      </c>
      <c r="D405">
        <v>692</v>
      </c>
      <c r="E405">
        <v>601</v>
      </c>
      <c r="F405" s="14">
        <f>INDEX(Лист1!$D:$D,MATCH(I405,Лист1!$J:$J,0))</f>
        <v>983109</v>
      </c>
      <c r="G405">
        <f>_xlfn.ISOWEEKNUM(Таблица2_2[[#This Row],[Дата]])</f>
        <v>22</v>
      </c>
      <c r="H405">
        <f>Таблица2_2[[#This Row],[Товарооборот, руб]]/Таблица2_2[[#This Row],[Количество складов]]</f>
        <v>98310.9</v>
      </c>
      <c r="I405" t="str">
        <f>--Таблица2_2[[#This Row],[Дата]]&amp;Таблица2_2[[#This Row],[Территория]]</f>
        <v>43977Тольятти</v>
      </c>
    </row>
    <row r="406" spans="1:9" x14ac:dyDescent="0.25">
      <c r="A406" s="12">
        <v>43977</v>
      </c>
      <c r="B406" s="13" t="s">
        <v>24</v>
      </c>
      <c r="C406">
        <v>7</v>
      </c>
      <c r="D406">
        <v>577</v>
      </c>
      <c r="E406">
        <v>389</v>
      </c>
      <c r="F406" s="14">
        <f>INDEX(Лист1!$D:$D,MATCH(I406,Лист1!$J:$J,0))</f>
        <v>833815.5</v>
      </c>
      <c r="G406">
        <f>_xlfn.ISOWEEKNUM(Таблица2_2[[#This Row],[Дата]])</f>
        <v>22</v>
      </c>
      <c r="H406">
        <f>Таблица2_2[[#This Row],[Товарооборот, руб]]/Таблица2_2[[#This Row],[Количество складов]]</f>
        <v>119116.5</v>
      </c>
      <c r="I406" t="str">
        <f>--Таблица2_2[[#This Row],[Дата]]&amp;Таблица2_2[[#This Row],[Территория]]</f>
        <v>43977Тюмень</v>
      </c>
    </row>
    <row r="407" spans="1:9" x14ac:dyDescent="0.25">
      <c r="A407" s="12">
        <v>43978</v>
      </c>
      <c r="B407" s="13" t="s">
        <v>16</v>
      </c>
      <c r="C407">
        <v>36</v>
      </c>
      <c r="D407">
        <v>4951</v>
      </c>
      <c r="E407">
        <v>4584</v>
      </c>
      <c r="F407" s="14">
        <f>INDEX(Лист1!$D:$D,MATCH(I407,Лист1!$J:$J,0))</f>
        <v>5985894</v>
      </c>
      <c r="G407">
        <f>_xlfn.ISOWEEKNUM(Таблица2_2[[#This Row],[Дата]])</f>
        <v>22</v>
      </c>
      <c r="H407">
        <f>Таблица2_2[[#This Row],[Товарооборот, руб]]/Таблица2_2[[#This Row],[Количество складов]]</f>
        <v>166274.83333333334</v>
      </c>
      <c r="I407" t="str">
        <f>--Таблица2_2[[#This Row],[Дата]]&amp;Таблица2_2[[#This Row],[Территория]]</f>
        <v>43978Волгоград</v>
      </c>
    </row>
    <row r="408" spans="1:9" x14ac:dyDescent="0.25">
      <c r="A408" s="12">
        <v>43978</v>
      </c>
      <c r="B408" s="13" t="s">
        <v>11</v>
      </c>
      <c r="C408">
        <v>31</v>
      </c>
      <c r="D408">
        <v>5330</v>
      </c>
      <c r="E408">
        <v>4977</v>
      </c>
      <c r="F408" s="14">
        <f>INDEX(Лист1!$D:$D,MATCH(I408,Лист1!$J:$J,0))</f>
        <v>6701083.5</v>
      </c>
      <c r="G408">
        <f>_xlfn.ISOWEEKNUM(Таблица2_2[[#This Row],[Дата]])</f>
        <v>22</v>
      </c>
      <c r="H408">
        <f>Таблица2_2[[#This Row],[Товарооборот, руб]]/Таблица2_2[[#This Row],[Количество складов]]</f>
        <v>216163.98387096773</v>
      </c>
      <c r="I408" t="str">
        <f>--Таблица2_2[[#This Row],[Дата]]&amp;Таблица2_2[[#This Row],[Территория]]</f>
        <v>43978Екатеринбург</v>
      </c>
    </row>
    <row r="409" spans="1:9" x14ac:dyDescent="0.25">
      <c r="A409" s="12">
        <v>43978</v>
      </c>
      <c r="B409" s="13" t="s">
        <v>17</v>
      </c>
      <c r="C409">
        <v>21</v>
      </c>
      <c r="D409">
        <v>2430</v>
      </c>
      <c r="E409">
        <v>2216</v>
      </c>
      <c r="F409" s="14">
        <f>INDEX(Лист1!$D:$D,MATCH(I409,Лист1!$J:$J,0))</f>
        <v>3780852</v>
      </c>
      <c r="G409">
        <f>_xlfn.ISOWEEKNUM(Таблица2_2[[#This Row],[Дата]])</f>
        <v>22</v>
      </c>
      <c r="H409">
        <f>Таблица2_2[[#This Row],[Товарооборот, руб]]/Таблица2_2[[#This Row],[Количество складов]]</f>
        <v>180040.57142857142</v>
      </c>
      <c r="I409" t="str">
        <f>--Таблица2_2[[#This Row],[Дата]]&amp;Таблица2_2[[#This Row],[Территория]]</f>
        <v>43978Казань</v>
      </c>
    </row>
    <row r="410" spans="1:9" x14ac:dyDescent="0.25">
      <c r="A410" s="12">
        <v>43978</v>
      </c>
      <c r="B410" s="13" t="s">
        <v>10</v>
      </c>
      <c r="C410">
        <v>20</v>
      </c>
      <c r="D410">
        <v>2079</v>
      </c>
      <c r="E410">
        <v>1893</v>
      </c>
      <c r="F410" s="14">
        <f>INDEX(Лист1!$D:$D,MATCH(I410,Лист1!$J:$J,0))</f>
        <v>3015751.5</v>
      </c>
      <c r="G410">
        <f>_xlfn.ISOWEEKNUM(Таблица2_2[[#This Row],[Дата]])</f>
        <v>22</v>
      </c>
      <c r="H410">
        <f>Таблица2_2[[#This Row],[Товарооборот, руб]]/Таблица2_2[[#This Row],[Количество складов]]</f>
        <v>150787.57500000001</v>
      </c>
      <c r="I410" t="str">
        <f>--Таблица2_2[[#This Row],[Дата]]&amp;Таблица2_2[[#This Row],[Территория]]</f>
        <v>43978Кемерово</v>
      </c>
    </row>
    <row r="411" spans="1:9" x14ac:dyDescent="0.25">
      <c r="A411" s="12">
        <v>43978</v>
      </c>
      <c r="B411" s="13" t="s">
        <v>20</v>
      </c>
      <c r="C411">
        <v>20</v>
      </c>
      <c r="D411">
        <v>1873</v>
      </c>
      <c r="E411">
        <v>1715</v>
      </c>
      <c r="F411" s="14">
        <f>INDEX(Лист1!$D:$D,MATCH(I411,Лист1!$J:$J,0))</f>
        <v>2458555.5</v>
      </c>
      <c r="G411">
        <f>_xlfn.ISOWEEKNUM(Таблица2_2[[#This Row],[Дата]])</f>
        <v>22</v>
      </c>
      <c r="H411">
        <f>Таблица2_2[[#This Row],[Товарооборот, руб]]/Таблица2_2[[#This Row],[Количество складов]]</f>
        <v>122927.77499999999</v>
      </c>
      <c r="I411" t="str">
        <f>--Таблица2_2[[#This Row],[Дата]]&amp;Таблица2_2[[#This Row],[Территория]]</f>
        <v>43978Краснодар</v>
      </c>
    </row>
    <row r="412" spans="1:9" x14ac:dyDescent="0.25">
      <c r="A412" s="12">
        <v>43978</v>
      </c>
      <c r="B412" s="13" t="s">
        <v>22</v>
      </c>
      <c r="C412">
        <v>54</v>
      </c>
      <c r="D412">
        <v>13091</v>
      </c>
      <c r="E412">
        <v>12216</v>
      </c>
      <c r="F412" s="14">
        <f>INDEX(Лист1!$D:$D,MATCH(I412,Лист1!$J:$J,0))</f>
        <v>20953324.5</v>
      </c>
      <c r="G412">
        <f>_xlfn.ISOWEEKNUM(Таблица2_2[[#This Row],[Дата]])</f>
        <v>22</v>
      </c>
      <c r="H412">
        <f>Таблица2_2[[#This Row],[Товарооборот, руб]]/Таблица2_2[[#This Row],[Количество складов]]</f>
        <v>388024.52777777775</v>
      </c>
      <c r="I412" t="str">
        <f>--Таблица2_2[[#This Row],[Дата]]&amp;Таблица2_2[[#This Row],[Территория]]</f>
        <v>43978Москва Восток</v>
      </c>
    </row>
    <row r="413" spans="1:9" x14ac:dyDescent="0.25">
      <c r="A413" s="12">
        <v>43978</v>
      </c>
      <c r="B413" s="13" t="s">
        <v>21</v>
      </c>
      <c r="C413">
        <v>59</v>
      </c>
      <c r="D413">
        <v>13942</v>
      </c>
      <c r="E413">
        <v>12986</v>
      </c>
      <c r="F413" s="14">
        <f>INDEX(Лист1!$D:$D,MATCH(I413,Лист1!$J:$J,0))</f>
        <v>22342300.5</v>
      </c>
      <c r="G413">
        <f>_xlfn.ISOWEEKNUM(Таблица2_2[[#This Row],[Дата]])</f>
        <v>22</v>
      </c>
      <c r="H413">
        <f>Таблица2_2[[#This Row],[Товарооборот, руб]]/Таблица2_2[[#This Row],[Количество складов]]</f>
        <v>378683.05932203389</v>
      </c>
      <c r="I413" t="str">
        <f>--Таблица2_2[[#This Row],[Дата]]&amp;Таблица2_2[[#This Row],[Территория]]</f>
        <v>43978Москва Запад</v>
      </c>
    </row>
    <row r="414" spans="1:9" x14ac:dyDescent="0.25">
      <c r="A414" s="12">
        <v>43978</v>
      </c>
      <c r="B414" s="13" t="s">
        <v>13</v>
      </c>
      <c r="C414">
        <v>20</v>
      </c>
      <c r="D414">
        <v>2079</v>
      </c>
      <c r="E414">
        <v>1856</v>
      </c>
      <c r="F414" s="14">
        <f>INDEX(Лист1!$D:$D,MATCH(I414,Лист1!$J:$J,0))</f>
        <v>2924133</v>
      </c>
      <c r="G414">
        <f>_xlfn.ISOWEEKNUM(Таблица2_2[[#This Row],[Дата]])</f>
        <v>22</v>
      </c>
      <c r="H414">
        <f>Таблица2_2[[#This Row],[Товарооборот, руб]]/Таблица2_2[[#This Row],[Количество складов]]</f>
        <v>146206.65</v>
      </c>
      <c r="I414" t="str">
        <f>--Таблица2_2[[#This Row],[Дата]]&amp;Таблица2_2[[#This Row],[Территория]]</f>
        <v>43978Нижний Новгород</v>
      </c>
    </row>
    <row r="415" spans="1:9" x14ac:dyDescent="0.25">
      <c r="A415" s="12">
        <v>43978</v>
      </c>
      <c r="B415" s="13" t="s">
        <v>23</v>
      </c>
      <c r="C415">
        <v>18</v>
      </c>
      <c r="D415">
        <v>962</v>
      </c>
      <c r="E415">
        <v>859</v>
      </c>
      <c r="F415" s="14">
        <f>INDEX(Лист1!$D:$D,MATCH(I415,Лист1!$J:$J,0))</f>
        <v>1350199.5</v>
      </c>
      <c r="G415">
        <f>_xlfn.ISOWEEKNUM(Таблица2_2[[#This Row],[Дата]])</f>
        <v>22</v>
      </c>
      <c r="H415">
        <f>Таблица2_2[[#This Row],[Товарооборот, руб]]/Таблица2_2[[#This Row],[Количество складов]]</f>
        <v>75011.083333333328</v>
      </c>
      <c r="I415" t="str">
        <f>--Таблица2_2[[#This Row],[Дата]]&amp;Таблица2_2[[#This Row],[Территория]]</f>
        <v>43978Новосибирск</v>
      </c>
    </row>
    <row r="416" spans="1:9" x14ac:dyDescent="0.25">
      <c r="A416" s="12">
        <v>43978</v>
      </c>
      <c r="B416" s="13" t="s">
        <v>18</v>
      </c>
      <c r="C416">
        <v>17</v>
      </c>
      <c r="D416">
        <v>1203</v>
      </c>
      <c r="E416">
        <v>1077</v>
      </c>
      <c r="F416" s="14">
        <f>INDEX(Лист1!$D:$D,MATCH(I416,Лист1!$J:$J,0))</f>
        <v>1603084.5</v>
      </c>
      <c r="G416">
        <f>_xlfn.ISOWEEKNUM(Таблица2_2[[#This Row],[Дата]])</f>
        <v>22</v>
      </c>
      <c r="H416">
        <f>Таблица2_2[[#This Row],[Товарооборот, руб]]/Таблица2_2[[#This Row],[Количество складов]]</f>
        <v>94299.088235294112</v>
      </c>
      <c r="I416" t="str">
        <f>--Таблица2_2[[#This Row],[Дата]]&amp;Таблица2_2[[#This Row],[Территория]]</f>
        <v>43978Пермь</v>
      </c>
    </row>
    <row r="417" spans="1:9" x14ac:dyDescent="0.25">
      <c r="A417" s="12">
        <v>43978</v>
      </c>
      <c r="B417" s="13" t="s">
        <v>19</v>
      </c>
      <c r="C417">
        <v>15</v>
      </c>
      <c r="D417">
        <v>809</v>
      </c>
      <c r="E417">
        <v>702</v>
      </c>
      <c r="F417" s="14">
        <f>INDEX(Лист1!$D:$D,MATCH(I417,Лист1!$J:$J,0))</f>
        <v>1211457</v>
      </c>
      <c r="G417">
        <f>_xlfn.ISOWEEKNUM(Таблица2_2[[#This Row],[Дата]])</f>
        <v>22</v>
      </c>
      <c r="H417">
        <f>Таблица2_2[[#This Row],[Товарооборот, руб]]/Таблица2_2[[#This Row],[Количество складов]]</f>
        <v>80763.8</v>
      </c>
      <c r="I417" t="str">
        <f>--Таблица2_2[[#This Row],[Дата]]&amp;Таблица2_2[[#This Row],[Территория]]</f>
        <v>43978Ростов-на-Дону</v>
      </c>
    </row>
    <row r="418" spans="1:9" x14ac:dyDescent="0.25">
      <c r="A418" s="12">
        <v>43978</v>
      </c>
      <c r="B418" s="13" t="s">
        <v>15</v>
      </c>
      <c r="C418">
        <v>124</v>
      </c>
      <c r="D418">
        <v>21384</v>
      </c>
      <c r="E418">
        <v>19897</v>
      </c>
      <c r="F418" s="14">
        <f>INDEX(Лист1!$D:$D,MATCH(I418,Лист1!$J:$J,0))</f>
        <v>39034861.5</v>
      </c>
      <c r="G418">
        <f>_xlfn.ISOWEEKNUM(Таблица2_2[[#This Row],[Дата]])</f>
        <v>22</v>
      </c>
      <c r="H418">
        <f>Таблица2_2[[#This Row],[Товарооборот, руб]]/Таблица2_2[[#This Row],[Количество складов]]</f>
        <v>314797.2701612903</v>
      </c>
      <c r="I418" t="str">
        <f>--Таблица2_2[[#This Row],[Дата]]&amp;Таблица2_2[[#This Row],[Территория]]</f>
        <v>43978Санкт-Петербург Север</v>
      </c>
    </row>
    <row r="419" spans="1:9" x14ac:dyDescent="0.25">
      <c r="A419" s="12">
        <v>43978</v>
      </c>
      <c r="B419" s="13" t="s">
        <v>14</v>
      </c>
      <c r="C419">
        <v>129</v>
      </c>
      <c r="D419">
        <v>17115</v>
      </c>
      <c r="E419">
        <v>15962</v>
      </c>
      <c r="F419" s="14">
        <f>INDEX(Лист1!$D:$D,MATCH(I419,Лист1!$J:$J,0))</f>
        <v>29256993</v>
      </c>
      <c r="G419">
        <f>_xlfn.ISOWEEKNUM(Таблица2_2[[#This Row],[Дата]])</f>
        <v>22</v>
      </c>
      <c r="H419">
        <f>Таблица2_2[[#This Row],[Товарооборот, руб]]/Таблица2_2[[#This Row],[Количество складов]]</f>
        <v>226798.39534883722</v>
      </c>
      <c r="I419" t="str">
        <f>--Таблица2_2[[#This Row],[Дата]]&amp;Таблица2_2[[#This Row],[Территория]]</f>
        <v>43978Санкт-Петербург Юг</v>
      </c>
    </row>
    <row r="420" spans="1:9" x14ac:dyDescent="0.25">
      <c r="A420" s="12">
        <v>43978</v>
      </c>
      <c r="B420" s="13" t="s">
        <v>12</v>
      </c>
      <c r="C420">
        <v>10</v>
      </c>
      <c r="D420">
        <v>757</v>
      </c>
      <c r="E420">
        <v>660</v>
      </c>
      <c r="F420" s="14">
        <f>INDEX(Лист1!$D:$D,MATCH(I420,Лист1!$J:$J,0))</f>
        <v>1054798.5</v>
      </c>
      <c r="G420">
        <f>_xlfn.ISOWEEKNUM(Таблица2_2[[#This Row],[Дата]])</f>
        <v>22</v>
      </c>
      <c r="H420">
        <f>Таблица2_2[[#This Row],[Товарооборот, руб]]/Таблица2_2[[#This Row],[Количество складов]]</f>
        <v>105479.85</v>
      </c>
      <c r="I420" t="str">
        <f>--Таблица2_2[[#This Row],[Дата]]&amp;Таблица2_2[[#This Row],[Территория]]</f>
        <v>43978Тольятти</v>
      </c>
    </row>
    <row r="421" spans="1:9" x14ac:dyDescent="0.25">
      <c r="A421" s="12">
        <v>43978</v>
      </c>
      <c r="B421" s="13" t="s">
        <v>24</v>
      </c>
      <c r="C421">
        <v>7</v>
      </c>
      <c r="D421">
        <v>409</v>
      </c>
      <c r="E421">
        <v>329</v>
      </c>
      <c r="F421" s="14">
        <f>INDEX(Лист1!$D:$D,MATCH(I421,Лист1!$J:$J,0))</f>
        <v>687684</v>
      </c>
      <c r="G421">
        <f>_xlfn.ISOWEEKNUM(Таблица2_2[[#This Row],[Дата]])</f>
        <v>22</v>
      </c>
      <c r="H421">
        <f>Таблица2_2[[#This Row],[Товарооборот, руб]]/Таблица2_2[[#This Row],[Количество складов]]</f>
        <v>98240.571428571435</v>
      </c>
      <c r="I421" t="str">
        <f>--Таблица2_2[[#This Row],[Дата]]&amp;Таблица2_2[[#This Row],[Территория]]</f>
        <v>43978Тюмень</v>
      </c>
    </row>
    <row r="422" spans="1:9" x14ac:dyDescent="0.25">
      <c r="A422" s="12">
        <v>43979</v>
      </c>
      <c r="B422" s="13" t="s">
        <v>16</v>
      </c>
      <c r="C422">
        <v>37</v>
      </c>
      <c r="D422">
        <v>4840</v>
      </c>
      <c r="E422">
        <v>4475</v>
      </c>
      <c r="F422" s="14">
        <f>INDEX(Лист1!$D:$D,MATCH(I422,Лист1!$J:$J,0))</f>
        <v>6101931</v>
      </c>
      <c r="G422">
        <f>_xlfn.ISOWEEKNUM(Таблица2_2[[#This Row],[Дата]])</f>
        <v>22</v>
      </c>
      <c r="H422">
        <f>Таблица2_2[[#This Row],[Товарооборот, руб]]/Таблица2_2[[#This Row],[Количество складов]]</f>
        <v>164917.05405405405</v>
      </c>
      <c r="I422" t="str">
        <f>--Таблица2_2[[#This Row],[Дата]]&amp;Таблица2_2[[#This Row],[Территория]]</f>
        <v>43979Волгоград</v>
      </c>
    </row>
    <row r="423" spans="1:9" x14ac:dyDescent="0.25">
      <c r="A423" s="12">
        <v>43979</v>
      </c>
      <c r="B423" s="13" t="s">
        <v>11</v>
      </c>
      <c r="C423">
        <v>31</v>
      </c>
      <c r="D423">
        <v>5355</v>
      </c>
      <c r="E423">
        <v>4969</v>
      </c>
      <c r="F423" s="14">
        <f>INDEX(Лист1!$D:$D,MATCH(I423,Лист1!$J:$J,0))</f>
        <v>6641569.5</v>
      </c>
      <c r="G423">
        <f>_xlfn.ISOWEEKNUM(Таблица2_2[[#This Row],[Дата]])</f>
        <v>22</v>
      </c>
      <c r="H423">
        <f>Таблица2_2[[#This Row],[Товарооборот, руб]]/Таблица2_2[[#This Row],[Количество складов]]</f>
        <v>214244.17741935485</v>
      </c>
      <c r="I423" t="str">
        <f>--Таблица2_2[[#This Row],[Дата]]&amp;Таблица2_2[[#This Row],[Территория]]</f>
        <v>43979Екатеринбург</v>
      </c>
    </row>
    <row r="424" spans="1:9" x14ac:dyDescent="0.25">
      <c r="A424" s="12">
        <v>43979</v>
      </c>
      <c r="B424" s="13" t="s">
        <v>17</v>
      </c>
      <c r="C424">
        <v>22</v>
      </c>
      <c r="D424">
        <v>2454</v>
      </c>
      <c r="E424">
        <v>2239</v>
      </c>
      <c r="F424" s="14">
        <f>INDEX(Лист1!$D:$D,MATCH(I424,Лист1!$J:$J,0))</f>
        <v>3893680.5</v>
      </c>
      <c r="G424">
        <f>_xlfn.ISOWEEKNUM(Таблица2_2[[#This Row],[Дата]])</f>
        <v>22</v>
      </c>
      <c r="H424">
        <f>Таблица2_2[[#This Row],[Товарооборот, руб]]/Таблица2_2[[#This Row],[Количество складов]]</f>
        <v>176985.47727272726</v>
      </c>
      <c r="I424" t="str">
        <f>--Таблица2_2[[#This Row],[Дата]]&amp;Таблица2_2[[#This Row],[Территория]]</f>
        <v>43979Казань</v>
      </c>
    </row>
    <row r="425" spans="1:9" x14ac:dyDescent="0.25">
      <c r="A425" s="12">
        <v>43979</v>
      </c>
      <c r="B425" s="13" t="s">
        <v>10</v>
      </c>
      <c r="C425">
        <v>20</v>
      </c>
      <c r="D425">
        <v>1886</v>
      </c>
      <c r="E425">
        <v>1736</v>
      </c>
      <c r="F425" s="14">
        <f>INDEX(Лист1!$D:$D,MATCH(I425,Лист1!$J:$J,0))</f>
        <v>2827773</v>
      </c>
      <c r="G425">
        <f>_xlfn.ISOWEEKNUM(Таблица2_2[[#This Row],[Дата]])</f>
        <v>22</v>
      </c>
      <c r="H425">
        <f>Таблица2_2[[#This Row],[Товарооборот, руб]]/Таблица2_2[[#This Row],[Количество складов]]</f>
        <v>141388.65</v>
      </c>
      <c r="I425" t="str">
        <f>--Таблица2_2[[#This Row],[Дата]]&amp;Таблица2_2[[#This Row],[Территория]]</f>
        <v>43979Кемерово</v>
      </c>
    </row>
    <row r="426" spans="1:9" x14ac:dyDescent="0.25">
      <c r="A426" s="12">
        <v>43979</v>
      </c>
      <c r="B426" s="13" t="s">
        <v>20</v>
      </c>
      <c r="C426">
        <v>20</v>
      </c>
      <c r="D426">
        <v>1875</v>
      </c>
      <c r="E426">
        <v>1701</v>
      </c>
      <c r="F426" s="14">
        <f>INDEX(Лист1!$D:$D,MATCH(I426,Лист1!$J:$J,0))</f>
        <v>2559211.5</v>
      </c>
      <c r="G426">
        <f>_xlfn.ISOWEEKNUM(Таблица2_2[[#This Row],[Дата]])</f>
        <v>22</v>
      </c>
      <c r="H426">
        <f>Таблица2_2[[#This Row],[Товарооборот, руб]]/Таблица2_2[[#This Row],[Количество складов]]</f>
        <v>127960.575</v>
      </c>
      <c r="I426" t="str">
        <f>--Таблица2_2[[#This Row],[Дата]]&amp;Таблица2_2[[#This Row],[Территория]]</f>
        <v>43979Краснодар</v>
      </c>
    </row>
    <row r="427" spans="1:9" x14ac:dyDescent="0.25">
      <c r="A427" s="12">
        <v>43979</v>
      </c>
      <c r="B427" s="13" t="s">
        <v>22</v>
      </c>
      <c r="C427">
        <v>54</v>
      </c>
      <c r="D427">
        <v>12409</v>
      </c>
      <c r="E427">
        <v>11582</v>
      </c>
      <c r="F427" s="14">
        <f>INDEX(Лист1!$D:$D,MATCH(I427,Лист1!$J:$J,0))</f>
        <v>19549036.5</v>
      </c>
      <c r="G427">
        <f>_xlfn.ISOWEEKNUM(Таблица2_2[[#This Row],[Дата]])</f>
        <v>22</v>
      </c>
      <c r="H427">
        <f>Таблица2_2[[#This Row],[Товарооборот, руб]]/Таблица2_2[[#This Row],[Количество складов]]</f>
        <v>362019.19444444444</v>
      </c>
      <c r="I427" t="str">
        <f>--Таблица2_2[[#This Row],[Дата]]&amp;Таблица2_2[[#This Row],[Территория]]</f>
        <v>43979Москва Восток</v>
      </c>
    </row>
    <row r="428" spans="1:9" x14ac:dyDescent="0.25">
      <c r="A428" s="12">
        <v>43979</v>
      </c>
      <c r="B428" s="13" t="s">
        <v>21</v>
      </c>
      <c r="C428">
        <v>60</v>
      </c>
      <c r="D428">
        <v>12854</v>
      </c>
      <c r="E428">
        <v>11954</v>
      </c>
      <c r="F428" s="14">
        <f>INDEX(Лист1!$D:$D,MATCH(I428,Лист1!$J:$J,0))</f>
        <v>20535733.5</v>
      </c>
      <c r="G428">
        <f>_xlfn.ISOWEEKNUM(Таблица2_2[[#This Row],[Дата]])</f>
        <v>22</v>
      </c>
      <c r="H428">
        <f>Таблица2_2[[#This Row],[Товарооборот, руб]]/Таблица2_2[[#This Row],[Количество складов]]</f>
        <v>342262.22499999998</v>
      </c>
      <c r="I428" t="str">
        <f>--Таблица2_2[[#This Row],[Дата]]&amp;Таблица2_2[[#This Row],[Территория]]</f>
        <v>43979Москва Запад</v>
      </c>
    </row>
    <row r="429" spans="1:9" x14ac:dyDescent="0.25">
      <c r="A429" s="12">
        <v>43979</v>
      </c>
      <c r="B429" s="13" t="s">
        <v>13</v>
      </c>
      <c r="C429">
        <v>20</v>
      </c>
      <c r="D429">
        <v>2088</v>
      </c>
      <c r="E429">
        <v>1848</v>
      </c>
      <c r="F429" s="14">
        <f>INDEX(Лист1!$D:$D,MATCH(I429,Лист1!$J:$J,0))</f>
        <v>3004213.5</v>
      </c>
      <c r="G429">
        <f>_xlfn.ISOWEEKNUM(Таблица2_2[[#This Row],[Дата]])</f>
        <v>22</v>
      </c>
      <c r="H429">
        <f>Таблица2_2[[#This Row],[Товарооборот, руб]]/Таблица2_2[[#This Row],[Количество складов]]</f>
        <v>150210.67499999999</v>
      </c>
      <c r="I429" t="str">
        <f>--Таблица2_2[[#This Row],[Дата]]&amp;Таблица2_2[[#This Row],[Территория]]</f>
        <v>43979Нижний Новгород</v>
      </c>
    </row>
    <row r="430" spans="1:9" x14ac:dyDescent="0.25">
      <c r="A430" s="12">
        <v>43979</v>
      </c>
      <c r="B430" s="13" t="s">
        <v>23</v>
      </c>
      <c r="C430">
        <v>18</v>
      </c>
      <c r="D430">
        <v>1020</v>
      </c>
      <c r="E430">
        <v>911</v>
      </c>
      <c r="F430" s="14">
        <f>INDEX(Лист1!$D:$D,MATCH(I430,Лист1!$J:$J,0))</f>
        <v>1387443</v>
      </c>
      <c r="G430">
        <f>_xlfn.ISOWEEKNUM(Таблица2_2[[#This Row],[Дата]])</f>
        <v>22</v>
      </c>
      <c r="H430">
        <f>Таблица2_2[[#This Row],[Товарооборот, руб]]/Таблица2_2[[#This Row],[Количество складов]]</f>
        <v>77080.166666666672</v>
      </c>
      <c r="I430" t="str">
        <f>--Таблица2_2[[#This Row],[Дата]]&amp;Таблица2_2[[#This Row],[Территория]]</f>
        <v>43979Новосибирск</v>
      </c>
    </row>
    <row r="431" spans="1:9" x14ac:dyDescent="0.25">
      <c r="A431" s="12">
        <v>43979</v>
      </c>
      <c r="B431" s="13" t="s">
        <v>18</v>
      </c>
      <c r="C431">
        <v>17</v>
      </c>
      <c r="D431">
        <v>1097</v>
      </c>
      <c r="E431">
        <v>968</v>
      </c>
      <c r="F431" s="14">
        <f>INDEX(Лист1!$D:$D,MATCH(I431,Лист1!$J:$J,0))</f>
        <v>1487928</v>
      </c>
      <c r="G431">
        <f>_xlfn.ISOWEEKNUM(Таблица2_2[[#This Row],[Дата]])</f>
        <v>22</v>
      </c>
      <c r="H431">
        <f>Таблица2_2[[#This Row],[Товарооборот, руб]]/Таблица2_2[[#This Row],[Количество складов]]</f>
        <v>87525.176470588238</v>
      </c>
      <c r="I431" t="str">
        <f>--Таблица2_2[[#This Row],[Дата]]&amp;Таблица2_2[[#This Row],[Территория]]</f>
        <v>43979Пермь</v>
      </c>
    </row>
    <row r="432" spans="1:9" x14ac:dyDescent="0.25">
      <c r="A432" s="12">
        <v>43979</v>
      </c>
      <c r="B432" s="13" t="s">
        <v>19</v>
      </c>
      <c r="C432">
        <v>16</v>
      </c>
      <c r="D432">
        <v>876</v>
      </c>
      <c r="E432">
        <v>762</v>
      </c>
      <c r="F432" s="14">
        <f>INDEX(Лист1!$D:$D,MATCH(I432,Лист1!$J:$J,0))</f>
        <v>1239747</v>
      </c>
      <c r="G432">
        <f>_xlfn.ISOWEEKNUM(Таблица2_2[[#This Row],[Дата]])</f>
        <v>22</v>
      </c>
      <c r="H432">
        <f>Таблица2_2[[#This Row],[Товарооборот, руб]]/Таблица2_2[[#This Row],[Количество складов]]</f>
        <v>77484.1875</v>
      </c>
      <c r="I432" t="str">
        <f>--Таблица2_2[[#This Row],[Дата]]&amp;Таблица2_2[[#This Row],[Территория]]</f>
        <v>43979Ростов-на-Дону</v>
      </c>
    </row>
    <row r="433" spans="1:9" x14ac:dyDescent="0.25">
      <c r="A433" s="12">
        <v>43979</v>
      </c>
      <c r="B433" s="13" t="s">
        <v>9</v>
      </c>
      <c r="C433">
        <v>15</v>
      </c>
      <c r="D433">
        <v>464</v>
      </c>
      <c r="E433">
        <v>390</v>
      </c>
      <c r="F433" s="14">
        <f>INDEX(Лист1!$D:$D,MATCH(I433,Лист1!$J:$J,0))</f>
        <v>643944</v>
      </c>
      <c r="G433">
        <f>_xlfn.ISOWEEKNUM(Таблица2_2[[#This Row],[Дата]])</f>
        <v>22</v>
      </c>
      <c r="H433">
        <f>Таблица2_2[[#This Row],[Товарооборот, руб]]/Таблица2_2[[#This Row],[Количество складов]]</f>
        <v>42929.599999999999</v>
      </c>
      <c r="I433" t="str">
        <f>--Таблица2_2[[#This Row],[Дата]]&amp;Таблица2_2[[#This Row],[Территория]]</f>
        <v>43979Самара</v>
      </c>
    </row>
    <row r="434" spans="1:9" x14ac:dyDescent="0.25">
      <c r="A434" s="12">
        <v>43979</v>
      </c>
      <c r="B434" s="13" t="s">
        <v>15</v>
      </c>
      <c r="C434">
        <v>124</v>
      </c>
      <c r="D434">
        <v>20868</v>
      </c>
      <c r="E434">
        <v>19342</v>
      </c>
      <c r="F434" s="14">
        <f>INDEX(Лист1!$D:$D,MATCH(I434,Лист1!$J:$J,0))</f>
        <v>37947688.5</v>
      </c>
      <c r="G434">
        <f>_xlfn.ISOWEEKNUM(Таблица2_2[[#This Row],[Дата]])</f>
        <v>22</v>
      </c>
      <c r="H434">
        <f>Таблица2_2[[#This Row],[Товарооборот, руб]]/Таблица2_2[[#This Row],[Количество складов]]</f>
        <v>306029.74596774194</v>
      </c>
      <c r="I434" t="str">
        <f>--Таблица2_2[[#This Row],[Дата]]&amp;Таблица2_2[[#This Row],[Территория]]</f>
        <v>43979Санкт-Петербург Север</v>
      </c>
    </row>
    <row r="435" spans="1:9" x14ac:dyDescent="0.25">
      <c r="A435" s="12">
        <v>43979</v>
      </c>
      <c r="B435" s="13" t="s">
        <v>14</v>
      </c>
      <c r="C435">
        <v>129</v>
      </c>
      <c r="D435">
        <v>16453</v>
      </c>
      <c r="E435">
        <v>15289</v>
      </c>
      <c r="F435" s="14">
        <f>INDEX(Лист1!$D:$D,MATCH(I435,Лист1!$J:$J,0))</f>
        <v>28151004.75</v>
      </c>
      <c r="G435">
        <f>_xlfn.ISOWEEKNUM(Таблица2_2[[#This Row],[Дата]])</f>
        <v>22</v>
      </c>
      <c r="H435">
        <f>Таблица2_2[[#This Row],[Товарооборот, руб]]/Таблица2_2[[#This Row],[Количество складов]]</f>
        <v>218224.84302325582</v>
      </c>
      <c r="I435" t="str">
        <f>--Таблица2_2[[#This Row],[Дата]]&amp;Таблица2_2[[#This Row],[Территория]]</f>
        <v>43979Санкт-Петербург Юг</v>
      </c>
    </row>
    <row r="436" spans="1:9" x14ac:dyDescent="0.25">
      <c r="A436" s="12">
        <v>43979</v>
      </c>
      <c r="B436" s="13" t="s">
        <v>12</v>
      </c>
      <c r="C436">
        <v>10</v>
      </c>
      <c r="D436">
        <v>791</v>
      </c>
      <c r="E436">
        <v>697</v>
      </c>
      <c r="F436" s="14">
        <f>INDEX(Лист1!$D:$D,MATCH(I436,Лист1!$J:$J,0))</f>
        <v>1114552.5</v>
      </c>
      <c r="G436">
        <f>_xlfn.ISOWEEKNUM(Таблица2_2[[#This Row],[Дата]])</f>
        <v>22</v>
      </c>
      <c r="H436">
        <f>Таблица2_2[[#This Row],[Товарооборот, руб]]/Таблица2_2[[#This Row],[Количество складов]]</f>
        <v>111455.25</v>
      </c>
      <c r="I436" t="str">
        <f>--Таблица2_2[[#This Row],[Дата]]&amp;Таблица2_2[[#This Row],[Территория]]</f>
        <v>43979Тольятти</v>
      </c>
    </row>
    <row r="437" spans="1:9" x14ac:dyDescent="0.25">
      <c r="A437" s="12">
        <v>43979</v>
      </c>
      <c r="B437" s="13" t="s">
        <v>24</v>
      </c>
      <c r="C437">
        <v>7</v>
      </c>
      <c r="D437">
        <v>420</v>
      </c>
      <c r="E437">
        <v>347</v>
      </c>
      <c r="F437" s="14">
        <f>INDEX(Лист1!$D:$D,MATCH(I437,Лист1!$J:$J,0))</f>
        <v>694669.5</v>
      </c>
      <c r="G437">
        <f>_xlfn.ISOWEEKNUM(Таблица2_2[[#This Row],[Дата]])</f>
        <v>22</v>
      </c>
      <c r="H437">
        <f>Таблица2_2[[#This Row],[Товарооборот, руб]]/Таблица2_2[[#This Row],[Количество складов]]</f>
        <v>99238.5</v>
      </c>
      <c r="I437" t="str">
        <f>--Таблица2_2[[#This Row],[Дата]]&amp;Таблица2_2[[#This Row],[Территория]]</f>
        <v>43979Тюмень</v>
      </c>
    </row>
    <row r="438" spans="1:9" x14ac:dyDescent="0.25">
      <c r="A438" s="12">
        <v>43980</v>
      </c>
      <c r="B438" s="13" t="s">
        <v>16</v>
      </c>
      <c r="C438">
        <v>37</v>
      </c>
      <c r="D438">
        <v>5672</v>
      </c>
      <c r="E438">
        <v>5198</v>
      </c>
      <c r="F438" s="14">
        <f>INDEX(Лист1!$D:$D,MATCH(I438,Лист1!$J:$J,0))</f>
        <v>7228395</v>
      </c>
      <c r="G438">
        <f>_xlfn.ISOWEEKNUM(Таблица2_2[[#This Row],[Дата]])</f>
        <v>22</v>
      </c>
      <c r="H438">
        <f>Таблица2_2[[#This Row],[Товарооборот, руб]]/Таблица2_2[[#This Row],[Количество складов]]</f>
        <v>195362.02702702704</v>
      </c>
      <c r="I438" t="str">
        <f>--Таблица2_2[[#This Row],[Дата]]&amp;Таблица2_2[[#This Row],[Территория]]</f>
        <v>43980Волгоград</v>
      </c>
    </row>
    <row r="439" spans="1:9" x14ac:dyDescent="0.25">
      <c r="A439" s="12">
        <v>43980</v>
      </c>
      <c r="B439" s="13" t="s">
        <v>11</v>
      </c>
      <c r="C439">
        <v>31</v>
      </c>
      <c r="D439">
        <v>5751</v>
      </c>
      <c r="E439">
        <v>5319</v>
      </c>
      <c r="F439" s="14">
        <f>INDEX(Лист1!$D:$D,MATCH(I439,Лист1!$J:$J,0))</f>
        <v>7387116</v>
      </c>
      <c r="G439">
        <f>_xlfn.ISOWEEKNUM(Таблица2_2[[#This Row],[Дата]])</f>
        <v>22</v>
      </c>
      <c r="H439">
        <f>Таблица2_2[[#This Row],[Товарооборот, руб]]/Таблица2_2[[#This Row],[Количество складов]]</f>
        <v>238294.06451612903</v>
      </c>
      <c r="I439" t="str">
        <f>--Таблица2_2[[#This Row],[Дата]]&amp;Таблица2_2[[#This Row],[Территория]]</f>
        <v>43980Екатеринбург</v>
      </c>
    </row>
    <row r="440" spans="1:9" x14ac:dyDescent="0.25">
      <c r="A440" s="12">
        <v>43980</v>
      </c>
      <c r="B440" s="13" t="s">
        <v>17</v>
      </c>
      <c r="C440">
        <v>22</v>
      </c>
      <c r="D440">
        <v>2597</v>
      </c>
      <c r="E440">
        <v>2379</v>
      </c>
      <c r="F440" s="14">
        <f>INDEX(Лист1!$D:$D,MATCH(I440,Лист1!$J:$J,0))</f>
        <v>4108596</v>
      </c>
      <c r="G440">
        <f>_xlfn.ISOWEEKNUM(Таблица2_2[[#This Row],[Дата]])</f>
        <v>22</v>
      </c>
      <c r="H440">
        <f>Таблица2_2[[#This Row],[Товарооборот, руб]]/Таблица2_2[[#This Row],[Количество складов]]</f>
        <v>186754.36363636365</v>
      </c>
      <c r="I440" t="str">
        <f>--Таблица2_2[[#This Row],[Дата]]&amp;Таблица2_2[[#This Row],[Территория]]</f>
        <v>43980Казань</v>
      </c>
    </row>
    <row r="441" spans="1:9" x14ac:dyDescent="0.25">
      <c r="A441" s="12">
        <v>43980</v>
      </c>
      <c r="B441" s="13" t="s">
        <v>10</v>
      </c>
      <c r="C441">
        <v>20</v>
      </c>
      <c r="D441">
        <v>2111</v>
      </c>
      <c r="E441">
        <v>1917</v>
      </c>
      <c r="F441" s="14">
        <f>INDEX(Лист1!$D:$D,MATCH(I441,Лист1!$J:$J,0))</f>
        <v>3193167</v>
      </c>
      <c r="G441">
        <f>_xlfn.ISOWEEKNUM(Таблица2_2[[#This Row],[Дата]])</f>
        <v>22</v>
      </c>
      <c r="H441">
        <f>Таблица2_2[[#This Row],[Товарооборот, руб]]/Таблица2_2[[#This Row],[Количество складов]]</f>
        <v>159658.35</v>
      </c>
      <c r="I441" t="str">
        <f>--Таблица2_2[[#This Row],[Дата]]&amp;Таблица2_2[[#This Row],[Территория]]</f>
        <v>43980Кемерово</v>
      </c>
    </row>
    <row r="442" spans="1:9" x14ac:dyDescent="0.25">
      <c r="A442" s="12">
        <v>43980</v>
      </c>
      <c r="B442" s="13" t="s">
        <v>20</v>
      </c>
      <c r="C442">
        <v>20</v>
      </c>
      <c r="D442">
        <v>2064</v>
      </c>
      <c r="E442">
        <v>1896</v>
      </c>
      <c r="F442" s="14">
        <f>INDEX(Лист1!$D:$D,MATCH(I442,Лист1!$J:$J,0))</f>
        <v>2854741.5</v>
      </c>
      <c r="G442">
        <f>_xlfn.ISOWEEKNUM(Таблица2_2[[#This Row],[Дата]])</f>
        <v>22</v>
      </c>
      <c r="H442">
        <f>Таблица2_2[[#This Row],[Товарооборот, руб]]/Таблица2_2[[#This Row],[Количество складов]]</f>
        <v>142737.07500000001</v>
      </c>
      <c r="I442" t="str">
        <f>--Таблица2_2[[#This Row],[Дата]]&amp;Таблица2_2[[#This Row],[Территория]]</f>
        <v>43980Краснодар</v>
      </c>
    </row>
    <row r="443" spans="1:9" x14ac:dyDescent="0.25">
      <c r="A443" s="12">
        <v>43980</v>
      </c>
      <c r="B443" s="13" t="s">
        <v>22</v>
      </c>
      <c r="C443">
        <v>54</v>
      </c>
      <c r="D443">
        <v>14031</v>
      </c>
      <c r="E443">
        <v>12943</v>
      </c>
      <c r="F443" s="14">
        <f>INDEX(Лист1!$D:$D,MATCH(I443,Лист1!$J:$J,0))</f>
        <v>22416151.5</v>
      </c>
      <c r="G443">
        <f>_xlfn.ISOWEEKNUM(Таблица2_2[[#This Row],[Дата]])</f>
        <v>22</v>
      </c>
      <c r="H443">
        <f>Таблица2_2[[#This Row],[Товарооборот, руб]]/Таблица2_2[[#This Row],[Количество складов]]</f>
        <v>415113.91666666669</v>
      </c>
      <c r="I443" t="str">
        <f>--Таблица2_2[[#This Row],[Дата]]&amp;Таблица2_2[[#This Row],[Территория]]</f>
        <v>43980Москва Восток</v>
      </c>
    </row>
    <row r="444" spans="1:9" x14ac:dyDescent="0.25">
      <c r="A444" s="12">
        <v>43980</v>
      </c>
      <c r="B444" s="13" t="s">
        <v>21</v>
      </c>
      <c r="C444">
        <v>59</v>
      </c>
      <c r="D444">
        <v>14507</v>
      </c>
      <c r="E444">
        <v>13386</v>
      </c>
      <c r="F444" s="14">
        <f>INDEX(Лист1!$D:$D,MATCH(I444,Лист1!$J:$J,0))</f>
        <v>23120443.5</v>
      </c>
      <c r="G444">
        <f>_xlfn.ISOWEEKNUM(Таблица2_2[[#This Row],[Дата]])</f>
        <v>22</v>
      </c>
      <c r="H444">
        <f>Таблица2_2[[#This Row],[Товарооборот, руб]]/Таблица2_2[[#This Row],[Количество складов]]</f>
        <v>391871.92372881353</v>
      </c>
      <c r="I444" t="str">
        <f>--Таблица2_2[[#This Row],[Дата]]&amp;Таблица2_2[[#This Row],[Территория]]</f>
        <v>43980Москва Запад</v>
      </c>
    </row>
    <row r="445" spans="1:9" x14ac:dyDescent="0.25">
      <c r="A445" s="12">
        <v>43980</v>
      </c>
      <c r="B445" s="13" t="s">
        <v>13</v>
      </c>
      <c r="C445">
        <v>20</v>
      </c>
      <c r="D445">
        <v>2249</v>
      </c>
      <c r="E445">
        <v>2000</v>
      </c>
      <c r="F445" s="14">
        <f>INDEX(Лист1!$D:$D,MATCH(I445,Лист1!$J:$J,0))</f>
        <v>3258054</v>
      </c>
      <c r="G445">
        <f>_xlfn.ISOWEEKNUM(Таблица2_2[[#This Row],[Дата]])</f>
        <v>22</v>
      </c>
      <c r="H445">
        <f>Таблица2_2[[#This Row],[Товарооборот, руб]]/Таблица2_2[[#This Row],[Количество складов]]</f>
        <v>162902.70000000001</v>
      </c>
      <c r="I445" t="str">
        <f>--Таблица2_2[[#This Row],[Дата]]&amp;Таблица2_2[[#This Row],[Территория]]</f>
        <v>43980Нижний Новгород</v>
      </c>
    </row>
    <row r="446" spans="1:9" x14ac:dyDescent="0.25">
      <c r="A446" s="12">
        <v>43980</v>
      </c>
      <c r="B446" s="13" t="s">
        <v>23</v>
      </c>
      <c r="C446">
        <v>18</v>
      </c>
      <c r="D446">
        <v>1014</v>
      </c>
      <c r="E446">
        <v>893</v>
      </c>
      <c r="F446" s="14">
        <f>INDEX(Лист1!$D:$D,MATCH(I446,Лист1!$J:$J,0))</f>
        <v>1438255.5</v>
      </c>
      <c r="G446">
        <f>_xlfn.ISOWEEKNUM(Таблица2_2[[#This Row],[Дата]])</f>
        <v>22</v>
      </c>
      <c r="H446">
        <f>Таблица2_2[[#This Row],[Товарооборот, руб]]/Таблица2_2[[#This Row],[Количество складов]]</f>
        <v>79903.083333333328</v>
      </c>
      <c r="I446" t="str">
        <f>--Таблица2_2[[#This Row],[Дата]]&amp;Таблица2_2[[#This Row],[Территория]]</f>
        <v>43980Новосибирск</v>
      </c>
    </row>
    <row r="447" spans="1:9" x14ac:dyDescent="0.25">
      <c r="A447" s="12">
        <v>43980</v>
      </c>
      <c r="B447" s="13" t="s">
        <v>18</v>
      </c>
      <c r="C447">
        <v>17</v>
      </c>
      <c r="D447">
        <v>1296</v>
      </c>
      <c r="E447">
        <v>1153</v>
      </c>
      <c r="F447" s="14">
        <f>INDEX(Лист1!$D:$D,MATCH(I447,Лист1!$J:$J,0))</f>
        <v>1764669</v>
      </c>
      <c r="G447">
        <f>_xlfn.ISOWEEKNUM(Таблица2_2[[#This Row],[Дата]])</f>
        <v>22</v>
      </c>
      <c r="H447">
        <f>Таблица2_2[[#This Row],[Товарооборот, руб]]/Таблица2_2[[#This Row],[Количество складов]]</f>
        <v>103804.05882352941</v>
      </c>
      <c r="I447" t="str">
        <f>--Таблица2_2[[#This Row],[Дата]]&amp;Таблица2_2[[#This Row],[Территория]]</f>
        <v>43980Пермь</v>
      </c>
    </row>
    <row r="448" spans="1:9" x14ac:dyDescent="0.25">
      <c r="A448" s="12">
        <v>43980</v>
      </c>
      <c r="B448" s="13" t="s">
        <v>19</v>
      </c>
      <c r="C448">
        <v>16</v>
      </c>
      <c r="D448">
        <v>981</v>
      </c>
      <c r="E448">
        <v>859</v>
      </c>
      <c r="F448" s="14">
        <f>INDEX(Лист1!$D:$D,MATCH(I448,Лист1!$J:$J,0))</f>
        <v>1549020</v>
      </c>
      <c r="G448">
        <f>_xlfn.ISOWEEKNUM(Таблица2_2[[#This Row],[Дата]])</f>
        <v>22</v>
      </c>
      <c r="H448">
        <f>Таблица2_2[[#This Row],[Товарооборот, руб]]/Таблица2_2[[#This Row],[Количество складов]]</f>
        <v>96813.75</v>
      </c>
      <c r="I448" t="str">
        <f>--Таблица2_2[[#This Row],[Дата]]&amp;Таблица2_2[[#This Row],[Территория]]</f>
        <v>43980Ростов-на-Дону</v>
      </c>
    </row>
    <row r="449" spans="1:9" x14ac:dyDescent="0.25">
      <c r="A449" s="12">
        <v>43980</v>
      </c>
      <c r="B449" s="13" t="s">
        <v>9</v>
      </c>
      <c r="C449">
        <v>15</v>
      </c>
      <c r="D449">
        <v>400</v>
      </c>
      <c r="E449">
        <v>329</v>
      </c>
      <c r="F449" s="14">
        <f>INDEX(Лист1!$D:$D,MATCH(I449,Лист1!$J:$J,0))</f>
        <v>651237</v>
      </c>
      <c r="G449">
        <f>_xlfn.ISOWEEKNUM(Таблица2_2[[#This Row],[Дата]])</f>
        <v>22</v>
      </c>
      <c r="H449">
        <f>Таблица2_2[[#This Row],[Товарооборот, руб]]/Таблица2_2[[#This Row],[Количество складов]]</f>
        <v>43415.8</v>
      </c>
      <c r="I449" t="str">
        <f>--Таблица2_2[[#This Row],[Дата]]&amp;Таблица2_2[[#This Row],[Территория]]</f>
        <v>43980Самара</v>
      </c>
    </row>
    <row r="450" spans="1:9" x14ac:dyDescent="0.25">
      <c r="A450" s="12">
        <v>43980</v>
      </c>
      <c r="B450" s="13" t="s">
        <v>15</v>
      </c>
      <c r="C450">
        <v>124</v>
      </c>
      <c r="D450">
        <v>25828</v>
      </c>
      <c r="E450">
        <v>23974</v>
      </c>
      <c r="F450" s="14">
        <f>INDEX(Лист1!$D:$D,MATCH(I450,Лист1!$J:$J,0))</f>
        <v>54172029</v>
      </c>
      <c r="G450">
        <f>_xlfn.ISOWEEKNUM(Таблица2_2[[#This Row],[Дата]])</f>
        <v>22</v>
      </c>
      <c r="H450">
        <f>Таблица2_2[[#This Row],[Товарооборот, руб]]/Таблица2_2[[#This Row],[Количество складов]]</f>
        <v>436871.20161290321</v>
      </c>
      <c r="I450" t="str">
        <f>--Таблица2_2[[#This Row],[Дата]]&amp;Таблица2_2[[#This Row],[Территория]]</f>
        <v>43980Санкт-Петербург Север</v>
      </c>
    </row>
    <row r="451" spans="1:9" x14ac:dyDescent="0.25">
      <c r="A451" s="12">
        <v>43980</v>
      </c>
      <c r="B451" s="13" t="s">
        <v>14</v>
      </c>
      <c r="C451">
        <v>129</v>
      </c>
      <c r="D451">
        <v>22403</v>
      </c>
      <c r="E451">
        <v>20676</v>
      </c>
      <c r="F451" s="14">
        <f>INDEX(Лист1!$D:$D,MATCH(I451,Лист1!$J:$J,0))</f>
        <v>41767140.105000004</v>
      </c>
      <c r="G451">
        <f>_xlfn.ISOWEEKNUM(Таблица2_2[[#This Row],[Дата]])</f>
        <v>22</v>
      </c>
      <c r="H451">
        <f>Таблица2_2[[#This Row],[Товарооборот, руб]]/Таблица2_2[[#This Row],[Количество складов]]</f>
        <v>323776.27988372097</v>
      </c>
      <c r="I451" t="str">
        <f>--Таблица2_2[[#This Row],[Дата]]&amp;Таблица2_2[[#This Row],[Территория]]</f>
        <v>43980Санкт-Петербург Юг</v>
      </c>
    </row>
    <row r="452" spans="1:9" x14ac:dyDescent="0.25">
      <c r="A452" s="12">
        <v>43980</v>
      </c>
      <c r="B452" s="13" t="s">
        <v>12</v>
      </c>
      <c r="C452">
        <v>10</v>
      </c>
      <c r="D452">
        <v>873</v>
      </c>
      <c r="E452">
        <v>770</v>
      </c>
      <c r="F452" s="14">
        <f>INDEX(Лист1!$D:$D,MATCH(I452,Лист1!$J:$J,0))</f>
        <v>1273464</v>
      </c>
      <c r="G452">
        <f>_xlfn.ISOWEEKNUM(Таблица2_2[[#This Row],[Дата]])</f>
        <v>22</v>
      </c>
      <c r="H452">
        <f>Таблица2_2[[#This Row],[Товарооборот, руб]]/Таблица2_2[[#This Row],[Количество складов]]</f>
        <v>127346.4</v>
      </c>
      <c r="I452" t="str">
        <f>--Таблица2_2[[#This Row],[Дата]]&amp;Таблица2_2[[#This Row],[Территория]]</f>
        <v>43980Тольятти</v>
      </c>
    </row>
    <row r="453" spans="1:9" x14ac:dyDescent="0.25">
      <c r="A453" s="12">
        <v>43980</v>
      </c>
      <c r="B453" s="13" t="s">
        <v>24</v>
      </c>
      <c r="C453">
        <v>7</v>
      </c>
      <c r="D453">
        <v>491</v>
      </c>
      <c r="E453">
        <v>411</v>
      </c>
      <c r="F453" s="14">
        <f>INDEX(Лист1!$D:$D,MATCH(I453,Лист1!$J:$J,0))</f>
        <v>850840.5</v>
      </c>
      <c r="G453">
        <f>_xlfn.ISOWEEKNUM(Таблица2_2[[#This Row],[Дата]])</f>
        <v>22</v>
      </c>
      <c r="H453">
        <f>Таблица2_2[[#This Row],[Товарооборот, руб]]/Таблица2_2[[#This Row],[Количество складов]]</f>
        <v>121548.64285714286</v>
      </c>
      <c r="I453" t="str">
        <f>--Таблица2_2[[#This Row],[Дата]]&amp;Таблица2_2[[#This Row],[Территория]]</f>
        <v>43980Тюмень</v>
      </c>
    </row>
    <row r="454" spans="1:9" x14ac:dyDescent="0.25">
      <c r="A454" s="12">
        <v>43981</v>
      </c>
      <c r="B454" s="13" t="s">
        <v>16</v>
      </c>
      <c r="C454">
        <v>37</v>
      </c>
      <c r="D454">
        <v>6645</v>
      </c>
      <c r="E454">
        <v>6122</v>
      </c>
      <c r="F454" s="14">
        <f>INDEX(Лист1!$D:$D,MATCH(I454,Лист1!$J:$J,0))</f>
        <v>9098386.5</v>
      </c>
      <c r="G454">
        <f>_xlfn.ISOWEEKNUM(Таблица2_2[[#This Row],[Дата]])</f>
        <v>22</v>
      </c>
      <c r="H454">
        <f>Таблица2_2[[#This Row],[Товарооборот, руб]]/Таблица2_2[[#This Row],[Количество складов]]</f>
        <v>245902.33783783784</v>
      </c>
      <c r="I454" t="str">
        <f>--Таблица2_2[[#This Row],[Дата]]&amp;Таблица2_2[[#This Row],[Территория]]</f>
        <v>43981Волгоград</v>
      </c>
    </row>
    <row r="455" spans="1:9" x14ac:dyDescent="0.25">
      <c r="A455" s="12">
        <v>43981</v>
      </c>
      <c r="B455" s="13" t="s">
        <v>11</v>
      </c>
      <c r="C455">
        <v>31</v>
      </c>
      <c r="D455">
        <v>6735</v>
      </c>
      <c r="E455">
        <v>6264</v>
      </c>
      <c r="F455" s="14">
        <f>INDEX(Лист1!$D:$D,MATCH(I455,Лист1!$J:$J,0))</f>
        <v>9164707.5</v>
      </c>
      <c r="G455">
        <f>_xlfn.ISOWEEKNUM(Таблица2_2[[#This Row],[Дата]])</f>
        <v>22</v>
      </c>
      <c r="H455">
        <f>Таблица2_2[[#This Row],[Товарооборот, руб]]/Таблица2_2[[#This Row],[Количество складов]]</f>
        <v>295635.72580645164</v>
      </c>
      <c r="I455" t="str">
        <f>--Таблица2_2[[#This Row],[Дата]]&amp;Таблица2_2[[#This Row],[Территория]]</f>
        <v>43981Екатеринбург</v>
      </c>
    </row>
    <row r="456" spans="1:9" x14ac:dyDescent="0.25">
      <c r="A456" s="12">
        <v>43981</v>
      </c>
      <c r="B456" s="13" t="s">
        <v>17</v>
      </c>
      <c r="C456">
        <v>22</v>
      </c>
      <c r="D456">
        <v>2793</v>
      </c>
      <c r="E456">
        <v>2539</v>
      </c>
      <c r="F456" s="14">
        <f>INDEX(Лист1!$D:$D,MATCH(I456,Лист1!$J:$J,0))</f>
        <v>4456441.5</v>
      </c>
      <c r="G456">
        <f>_xlfn.ISOWEEKNUM(Таблица2_2[[#This Row],[Дата]])</f>
        <v>22</v>
      </c>
      <c r="H456">
        <f>Таблица2_2[[#This Row],[Товарооборот, руб]]/Таблица2_2[[#This Row],[Количество складов]]</f>
        <v>202565.52272727274</v>
      </c>
      <c r="I456" t="str">
        <f>--Таблица2_2[[#This Row],[Дата]]&amp;Таблица2_2[[#This Row],[Территория]]</f>
        <v>43981Казань</v>
      </c>
    </row>
    <row r="457" spans="1:9" x14ac:dyDescent="0.25">
      <c r="A457" s="12">
        <v>43981</v>
      </c>
      <c r="B457" s="13" t="s">
        <v>10</v>
      </c>
      <c r="C457">
        <v>20</v>
      </c>
      <c r="D457">
        <v>2597</v>
      </c>
      <c r="E457">
        <v>2376</v>
      </c>
      <c r="F457" s="14">
        <f>INDEX(Лист1!$D:$D,MATCH(I457,Лист1!$J:$J,0))</f>
        <v>3921784.5</v>
      </c>
      <c r="G457">
        <f>_xlfn.ISOWEEKNUM(Таблица2_2[[#This Row],[Дата]])</f>
        <v>22</v>
      </c>
      <c r="H457">
        <f>Таблица2_2[[#This Row],[Товарооборот, руб]]/Таблица2_2[[#This Row],[Количество складов]]</f>
        <v>196089.22500000001</v>
      </c>
      <c r="I457" t="str">
        <f>--Таблица2_2[[#This Row],[Дата]]&amp;Таблица2_2[[#This Row],[Территория]]</f>
        <v>43981Кемерово</v>
      </c>
    </row>
    <row r="458" spans="1:9" x14ac:dyDescent="0.25">
      <c r="A458" s="12">
        <v>43981</v>
      </c>
      <c r="B458" s="13" t="s">
        <v>20</v>
      </c>
      <c r="C458">
        <v>20</v>
      </c>
      <c r="D458">
        <v>2174</v>
      </c>
      <c r="E458">
        <v>1957</v>
      </c>
      <c r="F458" s="14">
        <f>INDEX(Лист1!$D:$D,MATCH(I458,Лист1!$J:$J,0))</f>
        <v>3005334</v>
      </c>
      <c r="G458">
        <f>_xlfn.ISOWEEKNUM(Таблица2_2[[#This Row],[Дата]])</f>
        <v>22</v>
      </c>
      <c r="H458">
        <f>Таблица2_2[[#This Row],[Товарооборот, руб]]/Таблица2_2[[#This Row],[Количество складов]]</f>
        <v>150266.70000000001</v>
      </c>
      <c r="I458" t="str">
        <f>--Таблица2_2[[#This Row],[Дата]]&amp;Таблица2_2[[#This Row],[Территория]]</f>
        <v>43981Краснодар</v>
      </c>
    </row>
    <row r="459" spans="1:9" x14ac:dyDescent="0.25">
      <c r="A459" s="12">
        <v>43981</v>
      </c>
      <c r="B459" s="13" t="s">
        <v>22</v>
      </c>
      <c r="C459">
        <v>54</v>
      </c>
      <c r="D459">
        <v>14590</v>
      </c>
      <c r="E459">
        <v>13551</v>
      </c>
      <c r="F459" s="14">
        <f>INDEX(Лист1!$D:$D,MATCH(I459,Лист1!$J:$J,0))</f>
        <v>24151980</v>
      </c>
      <c r="G459">
        <f>_xlfn.ISOWEEKNUM(Таблица2_2[[#This Row],[Дата]])</f>
        <v>22</v>
      </c>
      <c r="H459">
        <f>Таблица2_2[[#This Row],[Товарооборот, руб]]/Таблица2_2[[#This Row],[Количество складов]]</f>
        <v>447258.88888888888</v>
      </c>
      <c r="I459" t="str">
        <f>--Таблица2_2[[#This Row],[Дата]]&amp;Таблица2_2[[#This Row],[Территория]]</f>
        <v>43981Москва Восток</v>
      </c>
    </row>
    <row r="460" spans="1:9" x14ac:dyDescent="0.25">
      <c r="A460" s="12">
        <v>43981</v>
      </c>
      <c r="B460" s="13" t="s">
        <v>21</v>
      </c>
      <c r="C460">
        <v>59</v>
      </c>
      <c r="D460">
        <v>15030</v>
      </c>
      <c r="E460">
        <v>13956</v>
      </c>
      <c r="F460" s="14">
        <f>INDEX(Лист1!$D:$D,MATCH(I460,Лист1!$J:$J,0))</f>
        <v>24527245.5</v>
      </c>
      <c r="G460">
        <f>_xlfn.ISOWEEKNUM(Таблица2_2[[#This Row],[Дата]])</f>
        <v>22</v>
      </c>
      <c r="H460">
        <f>Таблица2_2[[#This Row],[Товарооборот, руб]]/Таблица2_2[[#This Row],[Количество складов]]</f>
        <v>415716.0254237288</v>
      </c>
      <c r="I460" t="str">
        <f>--Таблица2_2[[#This Row],[Дата]]&amp;Таблица2_2[[#This Row],[Территория]]</f>
        <v>43981Москва Запад</v>
      </c>
    </row>
    <row r="461" spans="1:9" x14ac:dyDescent="0.25">
      <c r="A461" s="12">
        <v>43981</v>
      </c>
      <c r="B461" s="13" t="s">
        <v>13</v>
      </c>
      <c r="C461">
        <v>20</v>
      </c>
      <c r="D461">
        <v>2451</v>
      </c>
      <c r="E461">
        <v>2178</v>
      </c>
      <c r="F461" s="14">
        <f>INDEX(Лист1!$D:$D,MATCH(I461,Лист1!$J:$J,0))</f>
        <v>3654166.5</v>
      </c>
      <c r="G461">
        <f>_xlfn.ISOWEEKNUM(Таблица2_2[[#This Row],[Дата]])</f>
        <v>22</v>
      </c>
      <c r="H461">
        <f>Таблица2_2[[#This Row],[Товарооборот, руб]]/Таблица2_2[[#This Row],[Количество складов]]</f>
        <v>182708.32500000001</v>
      </c>
      <c r="I461" t="str">
        <f>--Таблица2_2[[#This Row],[Дата]]&amp;Таблица2_2[[#This Row],[Территория]]</f>
        <v>43981Нижний Новгород</v>
      </c>
    </row>
    <row r="462" spans="1:9" x14ac:dyDescent="0.25">
      <c r="A462" s="12">
        <v>43981</v>
      </c>
      <c r="B462" s="13" t="s">
        <v>23</v>
      </c>
      <c r="C462">
        <v>18</v>
      </c>
      <c r="D462">
        <v>1216</v>
      </c>
      <c r="E462">
        <v>1101</v>
      </c>
      <c r="F462" s="14">
        <f>INDEX(Лист1!$D:$D,MATCH(I462,Лист1!$J:$J,0))</f>
        <v>1773154.5</v>
      </c>
      <c r="G462">
        <f>_xlfn.ISOWEEKNUM(Таблица2_2[[#This Row],[Дата]])</f>
        <v>22</v>
      </c>
      <c r="H462">
        <f>Таблица2_2[[#This Row],[Товарооборот, руб]]/Таблица2_2[[#This Row],[Количество складов]]</f>
        <v>98508.583333333328</v>
      </c>
      <c r="I462" t="str">
        <f>--Таблица2_2[[#This Row],[Дата]]&amp;Таблица2_2[[#This Row],[Территория]]</f>
        <v>43981Новосибирск</v>
      </c>
    </row>
    <row r="463" spans="1:9" x14ac:dyDescent="0.25">
      <c r="A463" s="12">
        <v>43981</v>
      </c>
      <c r="B463" s="13" t="s">
        <v>18</v>
      </c>
      <c r="C463">
        <v>17</v>
      </c>
      <c r="D463">
        <v>1697</v>
      </c>
      <c r="E463">
        <v>1499</v>
      </c>
      <c r="F463" s="14">
        <f>INDEX(Лист1!$D:$D,MATCH(I463,Лист1!$J:$J,0))</f>
        <v>2457252</v>
      </c>
      <c r="G463">
        <f>_xlfn.ISOWEEKNUM(Таблица2_2[[#This Row],[Дата]])</f>
        <v>22</v>
      </c>
      <c r="H463">
        <f>Таблица2_2[[#This Row],[Товарооборот, руб]]/Таблица2_2[[#This Row],[Количество складов]]</f>
        <v>144544.23529411765</v>
      </c>
      <c r="I463" t="str">
        <f>--Таблица2_2[[#This Row],[Дата]]&amp;Таблица2_2[[#This Row],[Территория]]</f>
        <v>43981Пермь</v>
      </c>
    </row>
    <row r="464" spans="1:9" x14ac:dyDescent="0.25">
      <c r="A464" s="12">
        <v>43981</v>
      </c>
      <c r="B464" s="13" t="s">
        <v>19</v>
      </c>
      <c r="C464">
        <v>16</v>
      </c>
      <c r="D464">
        <v>1048</v>
      </c>
      <c r="E464">
        <v>918</v>
      </c>
      <c r="F464" s="14">
        <f>INDEX(Лист1!$D:$D,MATCH(I464,Лист1!$J:$J,0))</f>
        <v>1609090.5</v>
      </c>
      <c r="G464">
        <f>_xlfn.ISOWEEKNUM(Таблица2_2[[#This Row],[Дата]])</f>
        <v>22</v>
      </c>
      <c r="H464">
        <f>Таблица2_2[[#This Row],[Товарооборот, руб]]/Таблица2_2[[#This Row],[Количество складов]]</f>
        <v>100568.15625</v>
      </c>
      <c r="I464" t="str">
        <f>--Таблица2_2[[#This Row],[Дата]]&amp;Таблица2_2[[#This Row],[Территория]]</f>
        <v>43981Ростов-на-Дону</v>
      </c>
    </row>
    <row r="465" spans="1:9" x14ac:dyDescent="0.25">
      <c r="A465" s="12">
        <v>43981</v>
      </c>
      <c r="B465" s="13" t="s">
        <v>9</v>
      </c>
      <c r="C465">
        <v>15</v>
      </c>
      <c r="D465">
        <v>490</v>
      </c>
      <c r="E465">
        <v>409</v>
      </c>
      <c r="F465" s="14">
        <f>INDEX(Лист1!$D:$D,MATCH(I465,Лист1!$J:$J,0))</f>
        <v>787101</v>
      </c>
      <c r="G465">
        <f>_xlfn.ISOWEEKNUM(Таблица2_2[[#This Row],[Дата]])</f>
        <v>22</v>
      </c>
      <c r="H465">
        <f>Таблица2_2[[#This Row],[Товарооборот, руб]]/Таблица2_2[[#This Row],[Количество складов]]</f>
        <v>52473.4</v>
      </c>
      <c r="I465" t="str">
        <f>--Таблица2_2[[#This Row],[Дата]]&amp;Таблица2_2[[#This Row],[Территория]]</f>
        <v>43981Самара</v>
      </c>
    </row>
    <row r="466" spans="1:9" x14ac:dyDescent="0.25">
      <c r="A466" s="12">
        <v>43981</v>
      </c>
      <c r="B466" s="13" t="s">
        <v>15</v>
      </c>
      <c r="C466">
        <v>124</v>
      </c>
      <c r="D466">
        <v>24325</v>
      </c>
      <c r="E466">
        <v>22469</v>
      </c>
      <c r="F466" s="14">
        <f>INDEX(Лист1!$D:$D,MATCH(I466,Лист1!$J:$J,0))</f>
        <v>46370904</v>
      </c>
      <c r="G466">
        <f>_xlfn.ISOWEEKNUM(Таблица2_2[[#This Row],[Дата]])</f>
        <v>22</v>
      </c>
      <c r="H466">
        <f>Таблица2_2[[#This Row],[Товарооборот, руб]]/Таблица2_2[[#This Row],[Количество складов]]</f>
        <v>373958.90322580643</v>
      </c>
      <c r="I466" t="str">
        <f>--Таблица2_2[[#This Row],[Дата]]&amp;Таблица2_2[[#This Row],[Территория]]</f>
        <v>43981Санкт-Петербург Север</v>
      </c>
    </row>
    <row r="467" spans="1:9" x14ac:dyDescent="0.25">
      <c r="A467" s="12">
        <v>43981</v>
      </c>
      <c r="B467" s="13" t="s">
        <v>14</v>
      </c>
      <c r="C467">
        <v>129</v>
      </c>
      <c r="D467">
        <v>20243</v>
      </c>
      <c r="E467">
        <v>18711</v>
      </c>
      <c r="F467" s="14">
        <f>INDEX(Лист1!$D:$D,MATCH(I467,Лист1!$J:$J,0))</f>
        <v>35724493.5</v>
      </c>
      <c r="G467">
        <f>_xlfn.ISOWEEKNUM(Таблица2_2[[#This Row],[Дата]])</f>
        <v>22</v>
      </c>
      <c r="H467">
        <f>Таблица2_2[[#This Row],[Товарооборот, руб]]/Таблица2_2[[#This Row],[Количество складов]]</f>
        <v>276934.0581395349</v>
      </c>
      <c r="I467" t="str">
        <f>--Таблица2_2[[#This Row],[Дата]]&amp;Таблица2_2[[#This Row],[Территория]]</f>
        <v>43981Санкт-Петербург Юг</v>
      </c>
    </row>
    <row r="468" spans="1:9" x14ac:dyDescent="0.25">
      <c r="A468" s="12">
        <v>43981</v>
      </c>
      <c r="B468" s="13" t="s">
        <v>12</v>
      </c>
      <c r="C468">
        <v>10</v>
      </c>
      <c r="D468">
        <v>865</v>
      </c>
      <c r="E468">
        <v>763</v>
      </c>
      <c r="F468" s="14">
        <f>INDEX(Лист1!$D:$D,MATCH(I468,Лист1!$J:$J,0))</f>
        <v>1260483</v>
      </c>
      <c r="G468">
        <f>_xlfn.ISOWEEKNUM(Таблица2_2[[#This Row],[Дата]])</f>
        <v>22</v>
      </c>
      <c r="H468">
        <f>Таблица2_2[[#This Row],[Товарооборот, руб]]/Таблица2_2[[#This Row],[Количество складов]]</f>
        <v>126048.3</v>
      </c>
      <c r="I468" t="str">
        <f>--Таблица2_2[[#This Row],[Дата]]&amp;Таблица2_2[[#This Row],[Территория]]</f>
        <v>43981Тольятти</v>
      </c>
    </row>
    <row r="469" spans="1:9" x14ac:dyDescent="0.25">
      <c r="A469" s="12">
        <v>43981</v>
      </c>
      <c r="B469" s="13" t="s">
        <v>24</v>
      </c>
      <c r="C469">
        <v>7</v>
      </c>
      <c r="D469">
        <v>532</v>
      </c>
      <c r="E469">
        <v>449</v>
      </c>
      <c r="F469" s="14">
        <f>INDEX(Лист1!$D:$D,MATCH(I469,Лист1!$J:$J,0))</f>
        <v>928675.5</v>
      </c>
      <c r="G469">
        <f>_xlfn.ISOWEEKNUM(Таблица2_2[[#This Row],[Дата]])</f>
        <v>22</v>
      </c>
      <c r="H469">
        <f>Таблица2_2[[#This Row],[Товарооборот, руб]]/Таблица2_2[[#This Row],[Количество складов]]</f>
        <v>132667.92857142858</v>
      </c>
      <c r="I469" t="str">
        <f>--Таблица2_2[[#This Row],[Дата]]&amp;Таблица2_2[[#This Row],[Территория]]</f>
        <v>43981Тюмень</v>
      </c>
    </row>
    <row r="470" spans="1:9" x14ac:dyDescent="0.25">
      <c r="A470" s="12">
        <v>43982</v>
      </c>
      <c r="B470" s="13" t="s">
        <v>16</v>
      </c>
      <c r="C470">
        <v>37</v>
      </c>
      <c r="D470">
        <v>5215</v>
      </c>
      <c r="E470">
        <v>4848</v>
      </c>
      <c r="F470" s="14">
        <f>INDEX(Лист1!$D:$D,MATCH(I470,Лист1!$J:$J,0))</f>
        <v>6500848.5</v>
      </c>
      <c r="G470">
        <f>_xlfn.ISOWEEKNUM(Таблица2_2[[#This Row],[Дата]])</f>
        <v>22</v>
      </c>
      <c r="H470">
        <f>Таблица2_2[[#This Row],[Товарооборот, руб]]/Таблица2_2[[#This Row],[Количество складов]]</f>
        <v>175698.60810810811</v>
      </c>
      <c r="I470" t="str">
        <f>--Таблица2_2[[#This Row],[Дата]]&amp;Таблица2_2[[#This Row],[Территория]]</f>
        <v>43982Волгоград</v>
      </c>
    </row>
    <row r="471" spans="1:9" x14ac:dyDescent="0.25">
      <c r="A471" s="12">
        <v>43982</v>
      </c>
      <c r="B471" s="13" t="s">
        <v>11</v>
      </c>
      <c r="C471">
        <v>31</v>
      </c>
      <c r="D471">
        <v>5760</v>
      </c>
      <c r="E471">
        <v>5367</v>
      </c>
      <c r="F471" s="14">
        <f>INDEX(Лист1!$D:$D,MATCH(I471,Лист1!$J:$J,0))</f>
        <v>7512646.5</v>
      </c>
      <c r="G471">
        <f>_xlfn.ISOWEEKNUM(Таблица2_2[[#This Row],[Дата]])</f>
        <v>22</v>
      </c>
      <c r="H471">
        <f>Таблица2_2[[#This Row],[Товарооборот, руб]]/Таблица2_2[[#This Row],[Количество складов]]</f>
        <v>242343.43548387097</v>
      </c>
      <c r="I471" t="str">
        <f>--Таблица2_2[[#This Row],[Дата]]&amp;Таблица2_2[[#This Row],[Территория]]</f>
        <v>43982Екатеринбург</v>
      </c>
    </row>
    <row r="472" spans="1:9" x14ac:dyDescent="0.25">
      <c r="A472" s="12">
        <v>43982</v>
      </c>
      <c r="B472" s="13" t="s">
        <v>17</v>
      </c>
      <c r="C472">
        <v>23</v>
      </c>
      <c r="D472">
        <v>2522</v>
      </c>
      <c r="E472">
        <v>2295</v>
      </c>
      <c r="F472" s="14">
        <f>INDEX(Лист1!$D:$D,MATCH(I472,Лист1!$J:$J,0))</f>
        <v>3994153.5</v>
      </c>
      <c r="G472">
        <f>_xlfn.ISOWEEKNUM(Таблица2_2[[#This Row],[Дата]])</f>
        <v>22</v>
      </c>
      <c r="H472">
        <f>Таблица2_2[[#This Row],[Товарооборот, руб]]/Таблица2_2[[#This Row],[Количество складов]]</f>
        <v>173658.84782608695</v>
      </c>
      <c r="I472" t="str">
        <f>--Таблица2_2[[#This Row],[Дата]]&amp;Таблица2_2[[#This Row],[Территория]]</f>
        <v>43982Казань</v>
      </c>
    </row>
    <row r="473" spans="1:9" x14ac:dyDescent="0.25">
      <c r="A473" s="12">
        <v>43982</v>
      </c>
      <c r="B473" s="13" t="s">
        <v>10</v>
      </c>
      <c r="C473">
        <v>21</v>
      </c>
      <c r="D473">
        <v>2271</v>
      </c>
      <c r="E473">
        <v>2085</v>
      </c>
      <c r="F473" s="14">
        <f>INDEX(Лист1!$D:$D,MATCH(I473,Лист1!$J:$J,0))</f>
        <v>3473895</v>
      </c>
      <c r="G473">
        <f>_xlfn.ISOWEEKNUM(Таблица2_2[[#This Row],[Дата]])</f>
        <v>22</v>
      </c>
      <c r="H473">
        <f>Таблица2_2[[#This Row],[Товарооборот, руб]]/Таблица2_2[[#This Row],[Количество складов]]</f>
        <v>165423.57142857142</v>
      </c>
      <c r="I473" t="str">
        <f>--Таблица2_2[[#This Row],[Дата]]&amp;Таблица2_2[[#This Row],[Территория]]</f>
        <v>43982Кемерово</v>
      </c>
    </row>
    <row r="474" spans="1:9" x14ac:dyDescent="0.25">
      <c r="A474" s="12">
        <v>43982</v>
      </c>
      <c r="B474" s="13" t="s">
        <v>20</v>
      </c>
      <c r="C474">
        <v>21</v>
      </c>
      <c r="D474">
        <v>2056</v>
      </c>
      <c r="E474">
        <v>1879</v>
      </c>
      <c r="F474" s="14">
        <f>INDEX(Лист1!$D:$D,MATCH(I474,Лист1!$J:$J,0))</f>
        <v>2794324.5</v>
      </c>
      <c r="G474">
        <f>_xlfn.ISOWEEKNUM(Таблица2_2[[#This Row],[Дата]])</f>
        <v>22</v>
      </c>
      <c r="H474">
        <f>Таблица2_2[[#This Row],[Товарооборот, руб]]/Таблица2_2[[#This Row],[Количество складов]]</f>
        <v>133063.07142857142</v>
      </c>
      <c r="I474" t="str">
        <f>--Таблица2_2[[#This Row],[Дата]]&amp;Таблица2_2[[#This Row],[Территория]]</f>
        <v>43982Краснодар</v>
      </c>
    </row>
    <row r="475" spans="1:9" x14ac:dyDescent="0.25">
      <c r="A475" s="12">
        <v>43982</v>
      </c>
      <c r="B475" s="13" t="s">
        <v>22</v>
      </c>
      <c r="C475">
        <v>54</v>
      </c>
      <c r="D475">
        <v>13106</v>
      </c>
      <c r="E475">
        <v>12164</v>
      </c>
      <c r="F475" s="14">
        <f>INDEX(Лист1!$D:$D,MATCH(I475,Лист1!$J:$J,0))</f>
        <v>20717248.5</v>
      </c>
      <c r="G475">
        <f>_xlfn.ISOWEEKNUM(Таблица2_2[[#This Row],[Дата]])</f>
        <v>22</v>
      </c>
      <c r="H475">
        <f>Таблица2_2[[#This Row],[Товарооборот, руб]]/Таблица2_2[[#This Row],[Количество складов]]</f>
        <v>383652.75</v>
      </c>
      <c r="I475" t="str">
        <f>--Таблица2_2[[#This Row],[Дата]]&amp;Таблица2_2[[#This Row],[Территория]]</f>
        <v>43982Москва Восток</v>
      </c>
    </row>
    <row r="476" spans="1:9" x14ac:dyDescent="0.25">
      <c r="A476" s="12">
        <v>43982</v>
      </c>
      <c r="B476" s="13" t="s">
        <v>21</v>
      </c>
      <c r="C476">
        <v>59</v>
      </c>
      <c r="D476">
        <v>13684</v>
      </c>
      <c r="E476">
        <v>12690</v>
      </c>
      <c r="F476" s="14">
        <f>INDEX(Лист1!$D:$D,MATCH(I476,Лист1!$J:$J,0))</f>
        <v>21585316.5</v>
      </c>
      <c r="G476">
        <f>_xlfn.ISOWEEKNUM(Таблица2_2[[#This Row],[Дата]])</f>
        <v>22</v>
      </c>
      <c r="H476">
        <f>Таблица2_2[[#This Row],[Товарооборот, руб]]/Таблица2_2[[#This Row],[Количество складов]]</f>
        <v>365852.82203389832</v>
      </c>
      <c r="I476" t="str">
        <f>--Таблица2_2[[#This Row],[Дата]]&amp;Таблица2_2[[#This Row],[Территория]]</f>
        <v>43982Москва Запад</v>
      </c>
    </row>
    <row r="477" spans="1:9" x14ac:dyDescent="0.25">
      <c r="A477" s="12">
        <v>43982</v>
      </c>
      <c r="B477" s="13" t="s">
        <v>13</v>
      </c>
      <c r="C477">
        <v>20</v>
      </c>
      <c r="D477">
        <v>2060</v>
      </c>
      <c r="E477">
        <v>1826</v>
      </c>
      <c r="F477" s="14">
        <f>INDEX(Лист1!$D:$D,MATCH(I477,Лист1!$J:$J,0))</f>
        <v>2991999</v>
      </c>
      <c r="G477">
        <f>_xlfn.ISOWEEKNUM(Таблица2_2[[#This Row],[Дата]])</f>
        <v>22</v>
      </c>
      <c r="H477">
        <f>Таблица2_2[[#This Row],[Товарооборот, руб]]/Таблица2_2[[#This Row],[Количество складов]]</f>
        <v>149599.95000000001</v>
      </c>
      <c r="I477" t="str">
        <f>--Таблица2_2[[#This Row],[Дата]]&amp;Таблица2_2[[#This Row],[Территория]]</f>
        <v>43982Нижний Новгород</v>
      </c>
    </row>
    <row r="478" spans="1:9" x14ac:dyDescent="0.25">
      <c r="A478" s="12">
        <v>43982</v>
      </c>
      <c r="B478" s="13" t="s">
        <v>23</v>
      </c>
      <c r="C478">
        <v>18</v>
      </c>
      <c r="D478">
        <v>1029</v>
      </c>
      <c r="E478">
        <v>925</v>
      </c>
      <c r="F478" s="14">
        <f>INDEX(Лист1!$D:$D,MATCH(I478,Лист1!$J:$J,0))</f>
        <v>1423410</v>
      </c>
      <c r="G478">
        <f>_xlfn.ISOWEEKNUM(Таблица2_2[[#This Row],[Дата]])</f>
        <v>22</v>
      </c>
      <c r="H478">
        <f>Таблица2_2[[#This Row],[Товарооборот, руб]]/Таблица2_2[[#This Row],[Количество складов]]</f>
        <v>79078.333333333328</v>
      </c>
      <c r="I478" t="str">
        <f>--Таблица2_2[[#This Row],[Дата]]&amp;Таблица2_2[[#This Row],[Территория]]</f>
        <v>43982Новосибирск</v>
      </c>
    </row>
    <row r="479" spans="1:9" x14ac:dyDescent="0.25">
      <c r="A479" s="12">
        <v>43982</v>
      </c>
      <c r="B479" s="13" t="s">
        <v>18</v>
      </c>
      <c r="C479">
        <v>17</v>
      </c>
      <c r="D479">
        <v>1186</v>
      </c>
      <c r="E479">
        <v>1054</v>
      </c>
      <c r="F479" s="14">
        <f>INDEX(Лист1!$D:$D,MATCH(I479,Лист1!$J:$J,0))</f>
        <v>1592119.5</v>
      </c>
      <c r="G479">
        <f>_xlfn.ISOWEEKNUM(Таблица2_2[[#This Row],[Дата]])</f>
        <v>22</v>
      </c>
      <c r="H479">
        <f>Таблица2_2[[#This Row],[Товарооборот, руб]]/Таблица2_2[[#This Row],[Количество складов]]</f>
        <v>93654.088235294112</v>
      </c>
      <c r="I479" t="str">
        <f>--Таблица2_2[[#This Row],[Дата]]&amp;Таблица2_2[[#This Row],[Территория]]</f>
        <v>43982Пермь</v>
      </c>
    </row>
    <row r="480" spans="1:9" x14ac:dyDescent="0.25">
      <c r="A480" s="12">
        <v>43982</v>
      </c>
      <c r="B480" s="13" t="s">
        <v>19</v>
      </c>
      <c r="C480">
        <v>16</v>
      </c>
      <c r="D480">
        <v>917</v>
      </c>
      <c r="E480">
        <v>802</v>
      </c>
      <c r="F480" s="14">
        <f>INDEX(Лист1!$D:$D,MATCH(I480,Лист1!$J:$J,0))</f>
        <v>1336789.5</v>
      </c>
      <c r="G480">
        <f>_xlfn.ISOWEEKNUM(Таблица2_2[[#This Row],[Дата]])</f>
        <v>22</v>
      </c>
      <c r="H480">
        <f>Таблица2_2[[#This Row],[Товарооборот, руб]]/Таблица2_2[[#This Row],[Количество складов]]</f>
        <v>83549.34375</v>
      </c>
      <c r="I480" t="str">
        <f>--Таблица2_2[[#This Row],[Дата]]&amp;Таблица2_2[[#This Row],[Территория]]</f>
        <v>43982Ростов-на-Дону</v>
      </c>
    </row>
    <row r="481" spans="1:9" x14ac:dyDescent="0.25">
      <c r="A481" s="12">
        <v>43982</v>
      </c>
      <c r="B481" s="13" t="s">
        <v>9</v>
      </c>
      <c r="C481">
        <v>15</v>
      </c>
      <c r="D481">
        <v>441</v>
      </c>
      <c r="E481">
        <v>368</v>
      </c>
      <c r="F481" s="14">
        <f>INDEX(Лист1!$D:$D,MATCH(I481,Лист1!$J:$J,0))</f>
        <v>623971.5</v>
      </c>
      <c r="G481">
        <f>_xlfn.ISOWEEKNUM(Таблица2_2[[#This Row],[Дата]])</f>
        <v>22</v>
      </c>
      <c r="H481">
        <f>Таблица2_2[[#This Row],[Товарооборот, руб]]/Таблица2_2[[#This Row],[Количество складов]]</f>
        <v>41598.1</v>
      </c>
      <c r="I481" t="str">
        <f>--Таблица2_2[[#This Row],[Дата]]&amp;Таблица2_2[[#This Row],[Территория]]</f>
        <v>43982Самара</v>
      </c>
    </row>
    <row r="482" spans="1:9" x14ac:dyDescent="0.25">
      <c r="A482" s="12">
        <v>43982</v>
      </c>
      <c r="B482" s="13" t="s">
        <v>15</v>
      </c>
      <c r="C482">
        <v>124</v>
      </c>
      <c r="D482">
        <v>21392</v>
      </c>
      <c r="E482">
        <v>19869</v>
      </c>
      <c r="F482" s="14">
        <f>INDEX(Лист1!$D:$D,MATCH(I482,Лист1!$J:$J,0))</f>
        <v>39380178</v>
      </c>
      <c r="G482">
        <f>_xlfn.ISOWEEKNUM(Таблица2_2[[#This Row],[Дата]])</f>
        <v>22</v>
      </c>
      <c r="H482">
        <f>Таблица2_2[[#This Row],[Товарооборот, руб]]/Таблица2_2[[#This Row],[Количество складов]]</f>
        <v>317582.08064516127</v>
      </c>
      <c r="I482" t="str">
        <f>--Таблица2_2[[#This Row],[Дата]]&amp;Таблица2_2[[#This Row],[Территория]]</f>
        <v>43982Санкт-Петербург Север</v>
      </c>
    </row>
    <row r="483" spans="1:9" x14ac:dyDescent="0.25">
      <c r="A483" s="12">
        <v>43982</v>
      </c>
      <c r="B483" s="13" t="s">
        <v>14</v>
      </c>
      <c r="C483">
        <v>129</v>
      </c>
      <c r="D483">
        <v>17235</v>
      </c>
      <c r="E483">
        <v>16052</v>
      </c>
      <c r="F483" s="14">
        <f>INDEX(Лист1!$D:$D,MATCH(I483,Лист1!$J:$J,0))</f>
        <v>29327766</v>
      </c>
      <c r="G483">
        <f>_xlfn.ISOWEEKNUM(Таблица2_2[[#This Row],[Дата]])</f>
        <v>22</v>
      </c>
      <c r="H483">
        <f>Таблица2_2[[#This Row],[Товарооборот, руб]]/Таблица2_2[[#This Row],[Количество складов]]</f>
        <v>227347.02325581395</v>
      </c>
      <c r="I483" t="str">
        <f>--Таблица2_2[[#This Row],[Дата]]&amp;Таблица2_2[[#This Row],[Территория]]</f>
        <v>43982Санкт-Петербург Юг</v>
      </c>
    </row>
    <row r="484" spans="1:9" x14ac:dyDescent="0.25">
      <c r="A484" s="12">
        <v>43982</v>
      </c>
      <c r="B484" s="13" t="s">
        <v>12</v>
      </c>
      <c r="C484">
        <v>10</v>
      </c>
      <c r="D484">
        <v>749</v>
      </c>
      <c r="E484">
        <v>655</v>
      </c>
      <c r="F484" s="14">
        <f>INDEX(Лист1!$D:$D,MATCH(I484,Лист1!$J:$J,0))</f>
        <v>1045515</v>
      </c>
      <c r="G484">
        <f>_xlfn.ISOWEEKNUM(Таблица2_2[[#This Row],[Дата]])</f>
        <v>22</v>
      </c>
      <c r="H484">
        <f>Таблица2_2[[#This Row],[Товарооборот, руб]]/Таблица2_2[[#This Row],[Количество складов]]</f>
        <v>104551.5</v>
      </c>
      <c r="I484" t="str">
        <f>--Таблица2_2[[#This Row],[Дата]]&amp;Таблица2_2[[#This Row],[Территория]]</f>
        <v>43982Тольятти</v>
      </c>
    </row>
    <row r="485" spans="1:9" x14ac:dyDescent="0.25">
      <c r="A485" s="12">
        <v>43982</v>
      </c>
      <c r="B485" s="13" t="s">
        <v>25</v>
      </c>
      <c r="C485">
        <v>9</v>
      </c>
      <c r="D485">
        <v>345</v>
      </c>
      <c r="E485">
        <v>255</v>
      </c>
      <c r="F485" s="14">
        <f>INDEX(Лист1!$D:$D,MATCH(I485,Лист1!$J:$J,0))</f>
        <v>493893</v>
      </c>
      <c r="G485">
        <f>_xlfn.ISOWEEKNUM(Таблица2_2[[#This Row],[Дата]])</f>
        <v>22</v>
      </c>
      <c r="H485">
        <f>Таблица2_2[[#This Row],[Товарооборот, руб]]/Таблица2_2[[#This Row],[Количество складов]]</f>
        <v>54877</v>
      </c>
      <c r="I485" t="str">
        <f>--Таблица2_2[[#This Row],[Дата]]&amp;Таблица2_2[[#This Row],[Территория]]</f>
        <v>43982Томск</v>
      </c>
    </row>
    <row r="486" spans="1:9" x14ac:dyDescent="0.25">
      <c r="A486" s="12">
        <v>43982</v>
      </c>
      <c r="B486" s="13" t="s">
        <v>24</v>
      </c>
      <c r="C486">
        <v>7</v>
      </c>
      <c r="D486">
        <v>530</v>
      </c>
      <c r="E486">
        <v>447</v>
      </c>
      <c r="F486" s="14">
        <f>INDEX(Лист1!$D:$D,MATCH(I486,Лист1!$J:$J,0))</f>
        <v>866023.5</v>
      </c>
      <c r="G486">
        <f>_xlfn.ISOWEEKNUM(Таблица2_2[[#This Row],[Дата]])</f>
        <v>22</v>
      </c>
      <c r="H486">
        <f>Таблица2_2[[#This Row],[Товарооборот, руб]]/Таблица2_2[[#This Row],[Количество складов]]</f>
        <v>123717.64285714286</v>
      </c>
      <c r="I486" t="str">
        <f>--Таблица2_2[[#This Row],[Дата]]&amp;Таблица2_2[[#This Row],[Территория]]</f>
        <v>43982Тюмень</v>
      </c>
    </row>
    <row r="487" spans="1:9" x14ac:dyDescent="0.25">
      <c r="A487" s="12">
        <v>43982</v>
      </c>
      <c r="B487" s="13" t="s">
        <v>26</v>
      </c>
      <c r="C487">
        <v>6</v>
      </c>
      <c r="D487">
        <v>261</v>
      </c>
      <c r="E487">
        <v>188</v>
      </c>
      <c r="F487" s="14">
        <f>INDEX(Лист1!$D:$D,MATCH(I487,Лист1!$J:$J,0))</f>
        <v>468835.5</v>
      </c>
      <c r="G487">
        <f>_xlfn.ISOWEEKNUM(Таблица2_2[[#This Row],[Дата]])</f>
        <v>22</v>
      </c>
      <c r="H487">
        <f>Таблица2_2[[#This Row],[Товарооборот, руб]]/Таблица2_2[[#This Row],[Количество складов]]</f>
        <v>78139.25</v>
      </c>
      <c r="I487" t="str">
        <f>--Таблица2_2[[#This Row],[Дата]]&amp;Таблица2_2[[#This Row],[Территория]]</f>
        <v>43982Уфа</v>
      </c>
    </row>
    <row r="488" spans="1:9" x14ac:dyDescent="0.25">
      <c r="A488" s="12">
        <v>43983</v>
      </c>
      <c r="B488" s="13" t="s">
        <v>16</v>
      </c>
      <c r="C488">
        <v>37</v>
      </c>
      <c r="D488">
        <v>4722</v>
      </c>
      <c r="E488">
        <v>4352</v>
      </c>
      <c r="F488" s="14">
        <f>INDEX(Лист1!$D:$D,MATCH(I488,Лист1!$J:$J,0))</f>
        <v>5800290</v>
      </c>
      <c r="G488">
        <f>_xlfn.ISOWEEKNUM(Таблица2_2[[#This Row],[Дата]])</f>
        <v>23</v>
      </c>
      <c r="H488">
        <f>Таблица2_2[[#This Row],[Товарооборот, руб]]/Таблица2_2[[#This Row],[Количество складов]]</f>
        <v>156764.59459459459</v>
      </c>
      <c r="I488" t="str">
        <f>--Таблица2_2[[#This Row],[Дата]]&amp;Таблица2_2[[#This Row],[Территория]]</f>
        <v>43983Волгоград</v>
      </c>
    </row>
    <row r="489" spans="1:9" x14ac:dyDescent="0.25">
      <c r="A489" s="12">
        <v>43983</v>
      </c>
      <c r="B489" s="13" t="s">
        <v>11</v>
      </c>
      <c r="C489">
        <v>31</v>
      </c>
      <c r="D489">
        <v>5468</v>
      </c>
      <c r="E489">
        <v>5081</v>
      </c>
      <c r="F489" s="14">
        <f>INDEX(Лист1!$D:$D,MATCH(I489,Лист1!$J:$J,0))</f>
        <v>6829921.5</v>
      </c>
      <c r="G489">
        <f>_xlfn.ISOWEEKNUM(Таблица2_2[[#This Row],[Дата]])</f>
        <v>23</v>
      </c>
      <c r="H489">
        <f>Таблица2_2[[#This Row],[Товарооборот, руб]]/Таблица2_2[[#This Row],[Количество складов]]</f>
        <v>220320.04838709679</v>
      </c>
      <c r="I489" t="str">
        <f>--Таблица2_2[[#This Row],[Дата]]&amp;Таблица2_2[[#This Row],[Территория]]</f>
        <v>43983Екатеринбург</v>
      </c>
    </row>
    <row r="490" spans="1:9" x14ac:dyDescent="0.25">
      <c r="A490" s="12">
        <v>43983</v>
      </c>
      <c r="B490" s="13" t="s">
        <v>17</v>
      </c>
      <c r="C490">
        <v>23</v>
      </c>
      <c r="D490">
        <v>2531</v>
      </c>
      <c r="E490">
        <v>2296</v>
      </c>
      <c r="F490" s="14">
        <f>INDEX(Лист1!$D:$D,MATCH(I490,Лист1!$J:$J,0))</f>
        <v>3865251</v>
      </c>
      <c r="G490">
        <f>_xlfn.ISOWEEKNUM(Таблица2_2[[#This Row],[Дата]])</f>
        <v>23</v>
      </c>
      <c r="H490">
        <f>Таблица2_2[[#This Row],[Товарооборот, руб]]/Таблица2_2[[#This Row],[Количество складов]]</f>
        <v>168054.39130434784</v>
      </c>
      <c r="I490" t="str">
        <f>--Таблица2_2[[#This Row],[Дата]]&amp;Таблица2_2[[#This Row],[Территория]]</f>
        <v>43983Казань</v>
      </c>
    </row>
    <row r="491" spans="1:9" x14ac:dyDescent="0.25">
      <c r="A491" s="12">
        <v>43983</v>
      </c>
      <c r="B491" s="13" t="s">
        <v>10</v>
      </c>
      <c r="C491">
        <v>21</v>
      </c>
      <c r="D491">
        <v>2025</v>
      </c>
      <c r="E491">
        <v>1849</v>
      </c>
      <c r="F491" s="14">
        <f>INDEX(Лист1!$D:$D,MATCH(I491,Лист1!$J:$J,0))</f>
        <v>2945035.5</v>
      </c>
      <c r="G491">
        <f>_xlfn.ISOWEEKNUM(Таблица2_2[[#This Row],[Дата]])</f>
        <v>23</v>
      </c>
      <c r="H491">
        <f>Таблица2_2[[#This Row],[Товарооборот, руб]]/Таблица2_2[[#This Row],[Количество складов]]</f>
        <v>140239.78571428571</v>
      </c>
      <c r="I491" t="str">
        <f>--Таблица2_2[[#This Row],[Дата]]&amp;Таблица2_2[[#This Row],[Территория]]</f>
        <v>43983Кемерово</v>
      </c>
    </row>
    <row r="492" spans="1:9" x14ac:dyDescent="0.25">
      <c r="A492" s="12">
        <v>43983</v>
      </c>
      <c r="B492" s="13" t="s">
        <v>20</v>
      </c>
      <c r="C492">
        <v>21</v>
      </c>
      <c r="D492">
        <v>1879</v>
      </c>
      <c r="E492">
        <v>1720</v>
      </c>
      <c r="F492" s="14">
        <f>INDEX(Лист1!$D:$D,MATCH(I492,Лист1!$J:$J,0))</f>
        <v>2538967.5</v>
      </c>
      <c r="G492">
        <f>_xlfn.ISOWEEKNUM(Таблица2_2[[#This Row],[Дата]])</f>
        <v>23</v>
      </c>
      <c r="H492">
        <f>Таблица2_2[[#This Row],[Товарооборот, руб]]/Таблица2_2[[#This Row],[Количество складов]]</f>
        <v>120903.21428571429</v>
      </c>
      <c r="I492" t="str">
        <f>--Таблица2_2[[#This Row],[Дата]]&amp;Таблица2_2[[#This Row],[Территория]]</f>
        <v>43983Краснодар</v>
      </c>
    </row>
    <row r="493" spans="1:9" x14ac:dyDescent="0.25">
      <c r="A493" s="12">
        <v>43983</v>
      </c>
      <c r="B493" s="13" t="s">
        <v>22</v>
      </c>
      <c r="C493">
        <v>54</v>
      </c>
      <c r="D493">
        <v>11864</v>
      </c>
      <c r="E493">
        <v>11071</v>
      </c>
      <c r="F493" s="14">
        <f>INDEX(Лист1!$D:$D,MATCH(I493,Лист1!$J:$J,0))</f>
        <v>18914194.5</v>
      </c>
      <c r="G493">
        <f>_xlfn.ISOWEEKNUM(Таблица2_2[[#This Row],[Дата]])</f>
        <v>23</v>
      </c>
      <c r="H493">
        <f>Таблица2_2[[#This Row],[Товарооборот, руб]]/Таблица2_2[[#This Row],[Количество складов]]</f>
        <v>350262.86111111112</v>
      </c>
      <c r="I493" t="str">
        <f>--Таблица2_2[[#This Row],[Дата]]&amp;Таблица2_2[[#This Row],[Территория]]</f>
        <v>43983Москва Восток</v>
      </c>
    </row>
    <row r="494" spans="1:9" x14ac:dyDescent="0.25">
      <c r="A494" s="12">
        <v>43983</v>
      </c>
      <c r="B494" s="13" t="s">
        <v>21</v>
      </c>
      <c r="C494">
        <v>59</v>
      </c>
      <c r="D494">
        <v>12299</v>
      </c>
      <c r="E494">
        <v>11448</v>
      </c>
      <c r="F494" s="14">
        <f>INDEX(Лист1!$D:$D,MATCH(I494,Лист1!$J:$J,0))</f>
        <v>19465372.5</v>
      </c>
      <c r="G494">
        <f>_xlfn.ISOWEEKNUM(Таблица2_2[[#This Row],[Дата]])</f>
        <v>23</v>
      </c>
      <c r="H494">
        <f>Таблица2_2[[#This Row],[Товарооборот, руб]]/Таблица2_2[[#This Row],[Количество складов]]</f>
        <v>329921.56779661018</v>
      </c>
      <c r="I494" t="str">
        <f>--Таблица2_2[[#This Row],[Дата]]&amp;Таблица2_2[[#This Row],[Территория]]</f>
        <v>43983Москва Запад</v>
      </c>
    </row>
    <row r="495" spans="1:9" x14ac:dyDescent="0.25">
      <c r="A495" s="12">
        <v>43983</v>
      </c>
      <c r="B495" s="13" t="s">
        <v>13</v>
      </c>
      <c r="C495">
        <v>20</v>
      </c>
      <c r="D495">
        <v>2136</v>
      </c>
      <c r="E495">
        <v>1899</v>
      </c>
      <c r="F495" s="14">
        <f>INDEX(Лист1!$D:$D,MATCH(I495,Лист1!$J:$J,0))</f>
        <v>3013512</v>
      </c>
      <c r="G495">
        <f>_xlfn.ISOWEEKNUM(Таблица2_2[[#This Row],[Дата]])</f>
        <v>23</v>
      </c>
      <c r="H495">
        <f>Таблица2_2[[#This Row],[Товарооборот, руб]]/Таблица2_2[[#This Row],[Количество складов]]</f>
        <v>150675.6</v>
      </c>
      <c r="I495" t="str">
        <f>--Таблица2_2[[#This Row],[Дата]]&amp;Таблица2_2[[#This Row],[Территория]]</f>
        <v>43983Нижний Новгород</v>
      </c>
    </row>
    <row r="496" spans="1:9" x14ac:dyDescent="0.25">
      <c r="A496" s="12">
        <v>43983</v>
      </c>
      <c r="B496" s="13" t="s">
        <v>23</v>
      </c>
      <c r="C496">
        <v>18</v>
      </c>
      <c r="D496">
        <v>923</v>
      </c>
      <c r="E496">
        <v>824</v>
      </c>
      <c r="F496" s="14">
        <f>INDEX(Лист1!$D:$D,MATCH(I496,Лист1!$J:$J,0))</f>
        <v>1293219</v>
      </c>
      <c r="G496">
        <f>_xlfn.ISOWEEKNUM(Таблица2_2[[#This Row],[Дата]])</f>
        <v>23</v>
      </c>
      <c r="H496">
        <f>Таблица2_2[[#This Row],[Товарооборот, руб]]/Таблица2_2[[#This Row],[Количество складов]]</f>
        <v>71845.5</v>
      </c>
      <c r="I496" t="str">
        <f>--Таблица2_2[[#This Row],[Дата]]&amp;Таблица2_2[[#This Row],[Территория]]</f>
        <v>43983Новосибирск</v>
      </c>
    </row>
    <row r="497" spans="1:9" x14ac:dyDescent="0.25">
      <c r="A497" s="12">
        <v>43983</v>
      </c>
      <c r="B497" s="13" t="s">
        <v>18</v>
      </c>
      <c r="C497">
        <v>17</v>
      </c>
      <c r="D497">
        <v>1185</v>
      </c>
      <c r="E497">
        <v>1042</v>
      </c>
      <c r="F497" s="14">
        <f>INDEX(Лист1!$D:$D,MATCH(I497,Лист1!$J:$J,0))</f>
        <v>1526608.5</v>
      </c>
      <c r="G497">
        <f>_xlfn.ISOWEEKNUM(Таблица2_2[[#This Row],[Дата]])</f>
        <v>23</v>
      </c>
      <c r="H497">
        <f>Таблица2_2[[#This Row],[Товарооборот, руб]]/Таблица2_2[[#This Row],[Количество складов]]</f>
        <v>89800.5</v>
      </c>
      <c r="I497" t="str">
        <f>--Таблица2_2[[#This Row],[Дата]]&amp;Таблица2_2[[#This Row],[Территория]]</f>
        <v>43983Пермь</v>
      </c>
    </row>
    <row r="498" spans="1:9" x14ac:dyDescent="0.25">
      <c r="A498" s="12">
        <v>43983</v>
      </c>
      <c r="B498" s="13" t="s">
        <v>19</v>
      </c>
      <c r="C498">
        <v>16</v>
      </c>
      <c r="D498">
        <v>1019</v>
      </c>
      <c r="E498">
        <v>895</v>
      </c>
      <c r="F498" s="14">
        <f>INDEX(Лист1!$D:$D,MATCH(I498,Лист1!$J:$J,0))</f>
        <v>1565632.5</v>
      </c>
      <c r="G498">
        <f>_xlfn.ISOWEEKNUM(Таблица2_2[[#This Row],[Дата]])</f>
        <v>23</v>
      </c>
      <c r="H498">
        <f>Таблица2_2[[#This Row],[Товарооборот, руб]]/Таблица2_2[[#This Row],[Количество складов]]</f>
        <v>97852.03125</v>
      </c>
      <c r="I498" t="str">
        <f>--Таблица2_2[[#This Row],[Дата]]&amp;Таблица2_2[[#This Row],[Территория]]</f>
        <v>43983Ростов-на-Дону</v>
      </c>
    </row>
    <row r="499" spans="1:9" x14ac:dyDescent="0.25">
      <c r="A499" s="12">
        <v>43983</v>
      </c>
      <c r="B499" s="13" t="s">
        <v>9</v>
      </c>
      <c r="C499">
        <v>15</v>
      </c>
      <c r="D499">
        <v>453</v>
      </c>
      <c r="E499">
        <v>370</v>
      </c>
      <c r="F499" s="14">
        <f>INDEX(Лист1!$D:$D,MATCH(I499,Лист1!$J:$J,0))</f>
        <v>636345</v>
      </c>
      <c r="G499">
        <f>_xlfn.ISOWEEKNUM(Таблица2_2[[#This Row],[Дата]])</f>
        <v>23</v>
      </c>
      <c r="H499">
        <f>Таблица2_2[[#This Row],[Товарооборот, руб]]/Таблица2_2[[#This Row],[Количество складов]]</f>
        <v>42423</v>
      </c>
      <c r="I499" t="str">
        <f>--Таблица2_2[[#This Row],[Дата]]&amp;Таблица2_2[[#This Row],[Территория]]</f>
        <v>43983Самара</v>
      </c>
    </row>
    <row r="500" spans="1:9" x14ac:dyDescent="0.25">
      <c r="A500" s="12">
        <v>43983</v>
      </c>
      <c r="B500" s="13" t="s">
        <v>15</v>
      </c>
      <c r="C500">
        <v>123</v>
      </c>
      <c r="D500">
        <v>20325</v>
      </c>
      <c r="E500">
        <v>18935</v>
      </c>
      <c r="F500" s="14">
        <f>INDEX(Лист1!$D:$D,MATCH(I500,Лист1!$J:$J,0))</f>
        <v>37257840.18135</v>
      </c>
      <c r="G500">
        <f>_xlfn.ISOWEEKNUM(Таблица2_2[[#This Row],[Дата]])</f>
        <v>23</v>
      </c>
      <c r="H500">
        <f>Таблица2_2[[#This Row],[Товарооборот, руб]]/Таблица2_2[[#This Row],[Количество складов]]</f>
        <v>302909.26976707316</v>
      </c>
      <c r="I500" t="str">
        <f>--Таблица2_2[[#This Row],[Дата]]&amp;Таблица2_2[[#This Row],[Территория]]</f>
        <v>43983Санкт-Петербург Север</v>
      </c>
    </row>
    <row r="501" spans="1:9" x14ac:dyDescent="0.25">
      <c r="A501" s="12">
        <v>43983</v>
      </c>
      <c r="B501" s="13" t="s">
        <v>14</v>
      </c>
      <c r="C501">
        <v>128</v>
      </c>
      <c r="D501">
        <v>16285</v>
      </c>
      <c r="E501">
        <v>15130</v>
      </c>
      <c r="F501" s="14">
        <f>INDEX(Лист1!$D:$D,MATCH(I501,Лист1!$J:$J,0))</f>
        <v>27770092.5</v>
      </c>
      <c r="G501">
        <f>_xlfn.ISOWEEKNUM(Таблица2_2[[#This Row],[Дата]])</f>
        <v>23</v>
      </c>
      <c r="H501">
        <f>Таблица2_2[[#This Row],[Товарооборот, руб]]/Таблица2_2[[#This Row],[Количество складов]]</f>
        <v>216953.84765625</v>
      </c>
      <c r="I501" t="str">
        <f>--Таблица2_2[[#This Row],[Дата]]&amp;Таблица2_2[[#This Row],[Территория]]</f>
        <v>43983Санкт-Петербург Юг</v>
      </c>
    </row>
    <row r="502" spans="1:9" x14ac:dyDescent="0.25">
      <c r="A502" s="12">
        <v>43983</v>
      </c>
      <c r="B502" s="13" t="s">
        <v>12</v>
      </c>
      <c r="C502">
        <v>10</v>
      </c>
      <c r="D502">
        <v>719</v>
      </c>
      <c r="E502">
        <v>627</v>
      </c>
      <c r="F502" s="14">
        <f>INDEX(Лист1!$D:$D,MATCH(I502,Лист1!$J:$J,0))</f>
        <v>1007742</v>
      </c>
      <c r="G502">
        <f>_xlfn.ISOWEEKNUM(Таблица2_2[[#This Row],[Дата]])</f>
        <v>23</v>
      </c>
      <c r="H502">
        <f>Таблица2_2[[#This Row],[Товарооборот, руб]]/Таблица2_2[[#This Row],[Количество складов]]</f>
        <v>100774.2</v>
      </c>
      <c r="I502" t="str">
        <f>--Таблица2_2[[#This Row],[Дата]]&amp;Таблица2_2[[#This Row],[Территория]]</f>
        <v>43983Тольятти</v>
      </c>
    </row>
    <row r="503" spans="1:9" x14ac:dyDescent="0.25">
      <c r="A503" s="12">
        <v>43983</v>
      </c>
      <c r="B503" s="13" t="s">
        <v>25</v>
      </c>
      <c r="C503">
        <v>9</v>
      </c>
      <c r="D503">
        <v>294</v>
      </c>
      <c r="E503">
        <v>224</v>
      </c>
      <c r="F503" s="14">
        <f>INDEX(Лист1!$D:$D,MATCH(I503,Лист1!$J:$J,0))</f>
        <v>389013</v>
      </c>
      <c r="G503">
        <f>_xlfn.ISOWEEKNUM(Таблица2_2[[#This Row],[Дата]])</f>
        <v>23</v>
      </c>
      <c r="H503">
        <f>Таблица2_2[[#This Row],[Товарооборот, руб]]/Таблица2_2[[#This Row],[Количество складов]]</f>
        <v>43223.666666666664</v>
      </c>
      <c r="I503" t="str">
        <f>--Таблица2_2[[#This Row],[Дата]]&amp;Таблица2_2[[#This Row],[Территория]]</f>
        <v>43983Томск</v>
      </c>
    </row>
    <row r="504" spans="1:9" x14ac:dyDescent="0.25">
      <c r="A504" s="12">
        <v>43983</v>
      </c>
      <c r="B504" s="13" t="s">
        <v>24</v>
      </c>
      <c r="C504">
        <v>7</v>
      </c>
      <c r="D504">
        <v>500</v>
      </c>
      <c r="E504">
        <v>418</v>
      </c>
      <c r="F504" s="14">
        <f>INDEX(Лист1!$D:$D,MATCH(I504,Лист1!$J:$J,0))</f>
        <v>802447.5</v>
      </c>
      <c r="G504">
        <f>_xlfn.ISOWEEKNUM(Таблица2_2[[#This Row],[Дата]])</f>
        <v>23</v>
      </c>
      <c r="H504">
        <f>Таблица2_2[[#This Row],[Товарооборот, руб]]/Таблица2_2[[#This Row],[Количество складов]]</f>
        <v>114635.35714285714</v>
      </c>
      <c r="I504" t="str">
        <f>--Таблица2_2[[#This Row],[Дата]]&amp;Таблица2_2[[#This Row],[Территория]]</f>
        <v>43983Тюмень</v>
      </c>
    </row>
    <row r="505" spans="1:9" x14ac:dyDescent="0.25">
      <c r="A505" s="12">
        <v>43983</v>
      </c>
      <c r="B505" s="13" t="s">
        <v>26</v>
      </c>
      <c r="C505">
        <v>6</v>
      </c>
      <c r="D505">
        <v>237</v>
      </c>
      <c r="E505">
        <v>175</v>
      </c>
      <c r="F505" s="14">
        <f>INDEX(Лист1!$D:$D,MATCH(I505,Лист1!$J:$J,0))</f>
        <v>410892</v>
      </c>
      <c r="G505">
        <f>_xlfn.ISOWEEKNUM(Таблица2_2[[#This Row],[Дата]])</f>
        <v>23</v>
      </c>
      <c r="H505">
        <f>Таблица2_2[[#This Row],[Товарооборот, руб]]/Таблица2_2[[#This Row],[Количество складов]]</f>
        <v>68482</v>
      </c>
      <c r="I505" t="str">
        <f>--Таблица2_2[[#This Row],[Дата]]&amp;Таблица2_2[[#This Row],[Территория]]</f>
        <v>43983Уфа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2CDEED-5CD5-4660-BDCC-A83392EC00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сводная таблица</vt:lpstr>
      <vt:lpstr>Assignment_Data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Gulnur</cp:lastModifiedBy>
  <dcterms:created xsi:type="dcterms:W3CDTF">2021-09-13T10:17:58Z</dcterms:created>
  <dcterms:modified xsi:type="dcterms:W3CDTF">2026-01-05T13:15:28Z</dcterms:modified>
</cp:coreProperties>
</file>